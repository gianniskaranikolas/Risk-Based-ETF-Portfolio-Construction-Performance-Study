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ivan\Downloads\ETF Project\"/>
    </mc:Choice>
  </mc:AlternateContent>
  <xr:revisionPtr revIDLastSave="0" documentId="13_ncr:1_{F39DA75D-1E0B-4A6F-96CF-F2362D404F85}" xr6:coauthVersionLast="47" xr6:coauthVersionMax="47" xr10:uidLastSave="{00000000-0000-0000-0000-000000000000}"/>
  <bookViews>
    <workbookView xWindow="28680" yWindow="-120" windowWidth="29040" windowHeight="15720" tabRatio="500" activeTab="3" xr2:uid="{00000000-000D-0000-FFFF-FFFF00000000}"/>
  </bookViews>
  <sheets>
    <sheet name="Overview" sheetId="1" r:id="rId1"/>
    <sheet name="Trade Log" sheetId="2" r:id="rId2"/>
    <sheet name="Price History" sheetId="3" r:id="rId3"/>
    <sheet name="Holdings" sheetId="4" r:id="rId4"/>
    <sheet name="Dashboard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5" i="4" l="1"/>
  <c r="F45" i="4"/>
  <c r="E45" i="4"/>
  <c r="D45" i="4"/>
  <c r="C45" i="4"/>
  <c r="B45" i="4"/>
  <c r="A45" i="4"/>
  <c r="G44" i="4"/>
  <c r="F44" i="4"/>
  <c r="E44" i="4"/>
  <c r="D44" i="4"/>
  <c r="C44" i="4"/>
  <c r="B44" i="4"/>
  <c r="A44" i="4"/>
  <c r="G43" i="4"/>
  <c r="F43" i="4"/>
  <c r="E43" i="4"/>
  <c r="D43" i="4"/>
  <c r="C43" i="4"/>
  <c r="B43" i="4"/>
  <c r="A43" i="4"/>
  <c r="G42" i="4"/>
  <c r="F42" i="4"/>
  <c r="E42" i="4"/>
  <c r="D42" i="4"/>
  <c r="C42" i="4"/>
  <c r="B42" i="4"/>
  <c r="A42" i="4"/>
  <c r="G41" i="4"/>
  <c r="F41" i="4"/>
  <c r="E41" i="4"/>
  <c r="D41" i="4"/>
  <c r="C41" i="4"/>
  <c r="B41" i="4"/>
  <c r="A41" i="4"/>
  <c r="G40" i="4"/>
  <c r="F40" i="4"/>
  <c r="E40" i="4"/>
  <c r="D40" i="4"/>
  <c r="C40" i="4"/>
  <c r="B40" i="4"/>
  <c r="A40" i="4"/>
  <c r="G39" i="4"/>
  <c r="F39" i="4"/>
  <c r="E39" i="4"/>
  <c r="D39" i="4"/>
  <c r="C39" i="4"/>
  <c r="B39" i="4"/>
  <c r="A39" i="4"/>
  <c r="G38" i="4"/>
  <c r="F38" i="4"/>
  <c r="E38" i="4"/>
  <c r="D38" i="4"/>
  <c r="C38" i="4"/>
  <c r="B38" i="4"/>
  <c r="A38" i="4"/>
  <c r="G37" i="4"/>
  <c r="F37" i="4"/>
  <c r="E37" i="4"/>
  <c r="D37" i="4"/>
  <c r="C37" i="4"/>
  <c r="B37" i="4"/>
  <c r="A37" i="4"/>
  <c r="G36" i="4"/>
  <c r="F36" i="4"/>
  <c r="E36" i="4"/>
  <c r="D36" i="4"/>
  <c r="C36" i="4"/>
  <c r="B36" i="4"/>
  <c r="A36" i="4"/>
  <c r="G35" i="4"/>
  <c r="F35" i="4"/>
  <c r="E35" i="4"/>
  <c r="D35" i="4"/>
  <c r="C35" i="4"/>
  <c r="B35" i="4"/>
  <c r="A35" i="4"/>
  <c r="G34" i="4"/>
  <c r="F34" i="4"/>
  <c r="E34" i="4"/>
  <c r="D34" i="4"/>
  <c r="C34" i="4"/>
  <c r="B34" i="4"/>
  <c r="A34" i="4"/>
  <c r="G33" i="4"/>
  <c r="F33" i="4"/>
  <c r="E33" i="4"/>
  <c r="D33" i="4"/>
  <c r="C33" i="4"/>
  <c r="B33" i="4"/>
  <c r="A33" i="4"/>
  <c r="G32" i="4"/>
  <c r="F32" i="4"/>
  <c r="E32" i="4"/>
  <c r="D32" i="4"/>
  <c r="C32" i="4"/>
  <c r="B32" i="4"/>
  <c r="A32" i="4"/>
  <c r="G31" i="4"/>
  <c r="F31" i="4"/>
  <c r="E31" i="4"/>
  <c r="D31" i="4"/>
  <c r="C31" i="4"/>
  <c r="B31" i="4"/>
  <c r="A31" i="4"/>
  <c r="G30" i="4"/>
  <c r="F30" i="4"/>
  <c r="E30" i="4"/>
  <c r="D30" i="4"/>
  <c r="C30" i="4"/>
  <c r="B30" i="4"/>
  <c r="A30" i="4"/>
  <c r="G29" i="4"/>
  <c r="F29" i="4"/>
  <c r="E29" i="4"/>
  <c r="D29" i="4"/>
  <c r="C29" i="4"/>
  <c r="B29" i="4"/>
  <c r="A29" i="4"/>
  <c r="G28" i="4"/>
  <c r="F28" i="4"/>
  <c r="E28" i="4"/>
  <c r="D28" i="4"/>
  <c r="C28" i="4"/>
  <c r="B28" i="4"/>
  <c r="A28" i="4"/>
  <c r="G27" i="4"/>
  <c r="F27" i="4"/>
  <c r="E27" i="4"/>
  <c r="D27" i="4"/>
  <c r="C27" i="4"/>
  <c r="B27" i="4"/>
  <c r="A27" i="4"/>
  <c r="G26" i="4"/>
  <c r="F26" i="4"/>
  <c r="E26" i="4"/>
  <c r="D26" i="4"/>
  <c r="C26" i="4"/>
  <c r="B26" i="4"/>
  <c r="A26" i="4"/>
  <c r="G25" i="4"/>
  <c r="F25" i="4"/>
  <c r="E25" i="4"/>
  <c r="D25" i="4"/>
  <c r="C25" i="4"/>
  <c r="B25" i="4"/>
  <c r="A25" i="4"/>
  <c r="G24" i="4"/>
  <c r="F24" i="4"/>
  <c r="E24" i="4"/>
  <c r="D24" i="4"/>
  <c r="C24" i="4"/>
  <c r="B24" i="4"/>
  <c r="A24" i="4"/>
  <c r="G23" i="4"/>
  <c r="F23" i="4"/>
  <c r="E23" i="4"/>
  <c r="D23" i="4"/>
  <c r="C23" i="4"/>
  <c r="B23" i="4"/>
  <c r="A23" i="4"/>
  <c r="G22" i="4"/>
  <c r="F22" i="4"/>
  <c r="E22" i="4"/>
  <c r="D22" i="4"/>
  <c r="C22" i="4"/>
  <c r="B22" i="4"/>
  <c r="A22" i="4"/>
  <c r="G21" i="4"/>
  <c r="F21" i="4"/>
  <c r="E21" i="4"/>
  <c r="D21" i="4"/>
  <c r="C21" i="4"/>
  <c r="B21" i="4"/>
  <c r="A21" i="4"/>
  <c r="G20" i="4"/>
  <c r="F20" i="4"/>
  <c r="E20" i="4"/>
  <c r="D20" i="4"/>
  <c r="C20" i="4"/>
  <c r="B20" i="4"/>
  <c r="A20" i="4"/>
  <c r="G19" i="4"/>
  <c r="F19" i="4"/>
  <c r="E19" i="4"/>
  <c r="D19" i="4"/>
  <c r="C19" i="4"/>
  <c r="B19" i="4"/>
  <c r="A19" i="4"/>
  <c r="G18" i="4"/>
  <c r="F18" i="4"/>
  <c r="E18" i="4"/>
  <c r="D18" i="4"/>
  <c r="C18" i="4"/>
  <c r="B18" i="4"/>
  <c r="A18" i="4"/>
  <c r="G17" i="4"/>
  <c r="F17" i="4"/>
  <c r="E17" i="4"/>
  <c r="D17" i="4"/>
  <c r="C17" i="4"/>
  <c r="B17" i="4"/>
  <c r="A17" i="4"/>
  <c r="G16" i="4"/>
  <c r="F16" i="4"/>
  <c r="E16" i="4"/>
  <c r="D16" i="4"/>
  <c r="C16" i="4"/>
  <c r="B16" i="4"/>
  <c r="A16" i="4"/>
  <c r="G15" i="4"/>
  <c r="F15" i="4"/>
  <c r="E15" i="4"/>
  <c r="D15" i="4"/>
  <c r="C15" i="4"/>
  <c r="B15" i="4"/>
  <c r="A15" i="4"/>
  <c r="G14" i="4"/>
  <c r="F14" i="4"/>
  <c r="E14" i="4"/>
  <c r="D14" i="4"/>
  <c r="C14" i="4"/>
  <c r="B14" i="4"/>
  <c r="A14" i="4"/>
  <c r="G13" i="4"/>
  <c r="F13" i="4"/>
  <c r="E13" i="4"/>
  <c r="D13" i="4"/>
  <c r="C13" i="4"/>
  <c r="B13" i="4"/>
  <c r="A13" i="4"/>
  <c r="G12" i="4"/>
  <c r="F12" i="4"/>
  <c r="E12" i="4"/>
  <c r="D12" i="4"/>
  <c r="C12" i="4"/>
  <c r="B12" i="4"/>
  <c r="A12" i="4"/>
  <c r="G11" i="4"/>
  <c r="F11" i="4"/>
  <c r="E11" i="4"/>
  <c r="D11" i="4"/>
  <c r="C11" i="4"/>
  <c r="B11" i="4"/>
  <c r="A11" i="4"/>
  <c r="G10" i="4"/>
  <c r="F10" i="4"/>
  <c r="E10" i="4"/>
  <c r="D10" i="4"/>
  <c r="C10" i="4"/>
  <c r="B10" i="4"/>
  <c r="A10" i="4"/>
  <c r="G9" i="4"/>
  <c r="F9" i="4"/>
  <c r="E9" i="4"/>
  <c r="D9" i="4"/>
  <c r="C9" i="4"/>
  <c r="B9" i="4"/>
  <c r="A9" i="4"/>
  <c r="G8" i="4"/>
  <c r="F8" i="4"/>
  <c r="E8" i="4"/>
  <c r="D8" i="4"/>
  <c r="C8" i="4"/>
  <c r="B8" i="4"/>
  <c r="A8" i="4"/>
  <c r="G7" i="4"/>
  <c r="F7" i="4"/>
  <c r="E7" i="4"/>
  <c r="D7" i="4"/>
  <c r="C7" i="4"/>
  <c r="B7" i="4"/>
  <c r="A7" i="4"/>
  <c r="G6" i="4"/>
  <c r="F6" i="4"/>
  <c r="E6" i="4"/>
  <c r="D6" i="4"/>
  <c r="C6" i="4"/>
  <c r="B6" i="4"/>
  <c r="A6" i="4"/>
  <c r="G5" i="4"/>
  <c r="F5" i="4"/>
  <c r="E5" i="4"/>
  <c r="D5" i="4"/>
  <c r="C5" i="4"/>
  <c r="B5" i="4"/>
  <c r="A5" i="4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D22" i="1"/>
  <c r="E21" i="1"/>
  <c r="E20" i="1"/>
  <c r="E19" i="1"/>
  <c r="E18" i="1"/>
  <c r="E17" i="1"/>
  <c r="E22" i="1" s="1"/>
  <c r="J14" i="1"/>
  <c r="B45" i="5" l="1"/>
  <c r="D45" i="5"/>
  <c r="A45" i="5"/>
  <c r="B44" i="5"/>
  <c r="D44" i="5"/>
  <c r="A44" i="5"/>
  <c r="A43" i="5"/>
  <c r="D43" i="5"/>
  <c r="B43" i="5"/>
  <c r="B42" i="5"/>
  <c r="D42" i="5"/>
  <c r="A42" i="5"/>
  <c r="B41" i="5"/>
  <c r="A41" i="5"/>
  <c r="D41" i="5"/>
  <c r="D40" i="5"/>
  <c r="B40" i="5"/>
  <c r="A40" i="5"/>
  <c r="D39" i="5"/>
  <c r="B39" i="5"/>
  <c r="A39" i="5"/>
  <c r="B38" i="5"/>
  <c r="A38" i="5"/>
  <c r="D38" i="5"/>
  <c r="A37" i="5"/>
  <c r="D37" i="5"/>
  <c r="B37" i="5"/>
  <c r="A36" i="5"/>
  <c r="B36" i="5"/>
  <c r="D36" i="5"/>
  <c r="B35" i="5"/>
  <c r="D35" i="5"/>
  <c r="A35" i="5"/>
  <c r="A34" i="5"/>
  <c r="B34" i="5"/>
  <c r="D34" i="5"/>
  <c r="B33" i="5"/>
  <c r="D33" i="5"/>
  <c r="A33" i="5"/>
  <c r="D32" i="5"/>
  <c r="B32" i="5"/>
  <c r="A32" i="5"/>
  <c r="A31" i="5"/>
  <c r="D31" i="5"/>
  <c r="B31" i="5"/>
  <c r="A30" i="5"/>
  <c r="D30" i="5"/>
  <c r="B30" i="5"/>
  <c r="D29" i="5"/>
  <c r="B29" i="5"/>
  <c r="A29" i="5"/>
  <c r="D28" i="5"/>
  <c r="B28" i="5"/>
  <c r="A28" i="5"/>
  <c r="D27" i="5"/>
  <c r="B27" i="5"/>
  <c r="A27" i="5"/>
  <c r="D26" i="5"/>
  <c r="B26" i="5"/>
  <c r="A26" i="5"/>
  <c r="D25" i="5"/>
  <c r="B25" i="5"/>
  <c r="A25" i="5"/>
  <c r="A24" i="5"/>
  <c r="B24" i="5"/>
  <c r="D24" i="5"/>
  <c r="A23" i="5"/>
  <c r="B23" i="5"/>
  <c r="D23" i="5"/>
  <c r="A22" i="5"/>
  <c r="B22" i="5"/>
  <c r="D22" i="5"/>
  <c r="A21" i="5"/>
  <c r="D21" i="5"/>
  <c r="B21" i="5"/>
  <c r="A20" i="5"/>
  <c r="B20" i="5"/>
  <c r="D20" i="5"/>
  <c r="A19" i="5"/>
  <c r="D19" i="5"/>
  <c r="B19" i="5"/>
  <c r="A18" i="5"/>
  <c r="B18" i="5"/>
  <c r="D18" i="5"/>
  <c r="D17" i="5"/>
  <c r="B17" i="5"/>
  <c r="A17" i="5"/>
  <c r="D16" i="5"/>
  <c r="A16" i="5"/>
  <c r="B16" i="5"/>
  <c r="B15" i="5"/>
  <c r="D15" i="5"/>
  <c r="A15" i="5"/>
  <c r="B14" i="5"/>
  <c r="D14" i="5"/>
  <c r="A14" i="5"/>
  <c r="A13" i="5"/>
  <c r="B13" i="5"/>
  <c r="D13" i="5"/>
  <c r="A12" i="5"/>
  <c r="B12" i="5"/>
  <c r="D12" i="5"/>
  <c r="B11" i="5"/>
  <c r="A11" i="5"/>
  <c r="D11" i="5"/>
  <c r="A10" i="5"/>
  <c r="B10" i="5"/>
  <c r="D10" i="5"/>
  <c r="A9" i="5"/>
  <c r="D9" i="5"/>
  <c r="B9" i="5"/>
  <c r="A8" i="5"/>
  <c r="D8" i="5"/>
  <c r="B8" i="5"/>
  <c r="B7" i="5"/>
  <c r="D7" i="5"/>
  <c r="A7" i="5"/>
  <c r="A6" i="5"/>
  <c r="B6" i="5"/>
  <c r="D6" i="5"/>
  <c r="A5" i="5"/>
  <c r="B5" i="5"/>
  <c r="B50" i="5" s="1"/>
  <c r="B54" i="5" s="1"/>
  <c r="D5" i="5"/>
  <c r="C50" i="5"/>
  <c r="B51" i="5"/>
  <c r="C51" i="5"/>
  <c r="F18" i="1"/>
  <c r="F19" i="1"/>
  <c r="F20" i="1"/>
  <c r="F21" i="1"/>
  <c r="F17" i="1"/>
  <c r="C45" i="5" l="1"/>
  <c r="F45" i="5"/>
  <c r="G45" i="5"/>
  <c r="E45" i="5"/>
  <c r="H45" i="5"/>
  <c r="I45" i="5"/>
  <c r="C44" i="5"/>
  <c r="F44" i="5"/>
  <c r="G44" i="5"/>
  <c r="E44" i="5"/>
  <c r="H44" i="5"/>
  <c r="I44" i="5"/>
  <c r="E43" i="5"/>
  <c r="H43" i="5"/>
  <c r="I43" i="5"/>
  <c r="C43" i="5"/>
  <c r="F43" i="5"/>
  <c r="G43" i="5"/>
  <c r="C42" i="5"/>
  <c r="F42" i="5"/>
  <c r="G42" i="5"/>
  <c r="E42" i="5"/>
  <c r="H42" i="5"/>
  <c r="I42" i="5"/>
  <c r="C41" i="5"/>
  <c r="F41" i="5"/>
  <c r="G41" i="5"/>
  <c r="E41" i="5"/>
  <c r="H41" i="5"/>
  <c r="I41" i="5"/>
  <c r="E40" i="5"/>
  <c r="H40" i="5"/>
  <c r="I40" i="5"/>
  <c r="C40" i="5"/>
  <c r="F40" i="5"/>
  <c r="G40" i="5"/>
  <c r="E39" i="5"/>
  <c r="H39" i="5"/>
  <c r="I39" i="5"/>
  <c r="C39" i="5"/>
  <c r="F39" i="5"/>
  <c r="G39" i="5"/>
  <c r="C38" i="5"/>
  <c r="F38" i="5"/>
  <c r="G38" i="5"/>
  <c r="E38" i="5"/>
  <c r="H38" i="5"/>
  <c r="I38" i="5"/>
  <c r="E37" i="5"/>
  <c r="H37" i="5"/>
  <c r="I37" i="5"/>
  <c r="C37" i="5"/>
  <c r="F37" i="5"/>
  <c r="G37" i="5"/>
  <c r="C36" i="5"/>
  <c r="F36" i="5"/>
  <c r="G36" i="5"/>
  <c r="E36" i="5"/>
  <c r="H36" i="5"/>
  <c r="I36" i="5"/>
  <c r="C35" i="5"/>
  <c r="F35" i="5"/>
  <c r="G35" i="5"/>
  <c r="E35" i="5"/>
  <c r="H35" i="5"/>
  <c r="I35" i="5"/>
  <c r="C34" i="5"/>
  <c r="F34" i="5"/>
  <c r="G34" i="5"/>
  <c r="E34" i="5"/>
  <c r="H34" i="5"/>
  <c r="I34" i="5"/>
  <c r="C33" i="5"/>
  <c r="F33" i="5"/>
  <c r="G33" i="5"/>
  <c r="E33" i="5"/>
  <c r="H33" i="5"/>
  <c r="I33" i="5"/>
  <c r="E32" i="5"/>
  <c r="H32" i="5"/>
  <c r="I32" i="5"/>
  <c r="C32" i="5"/>
  <c r="F32" i="5"/>
  <c r="G32" i="5"/>
  <c r="E31" i="5"/>
  <c r="H31" i="5"/>
  <c r="I31" i="5"/>
  <c r="C31" i="5"/>
  <c r="F31" i="5"/>
  <c r="G31" i="5"/>
  <c r="E30" i="5"/>
  <c r="H30" i="5"/>
  <c r="I30" i="5"/>
  <c r="C30" i="5"/>
  <c r="F30" i="5"/>
  <c r="G30" i="5"/>
  <c r="E29" i="5"/>
  <c r="H29" i="5"/>
  <c r="I29" i="5"/>
  <c r="C29" i="5"/>
  <c r="F29" i="5"/>
  <c r="G29" i="5"/>
  <c r="E28" i="5"/>
  <c r="H28" i="5"/>
  <c r="I28" i="5"/>
  <c r="C28" i="5"/>
  <c r="F28" i="5"/>
  <c r="G28" i="5"/>
  <c r="E27" i="5"/>
  <c r="H27" i="5"/>
  <c r="I27" i="5"/>
  <c r="C27" i="5"/>
  <c r="F27" i="5"/>
  <c r="G27" i="5"/>
  <c r="E26" i="5"/>
  <c r="H26" i="5"/>
  <c r="I26" i="5"/>
  <c r="C26" i="5"/>
  <c r="F26" i="5"/>
  <c r="G26" i="5"/>
  <c r="E25" i="5"/>
  <c r="H25" i="5"/>
  <c r="I25" i="5"/>
  <c r="C25" i="5"/>
  <c r="F25" i="5"/>
  <c r="G25" i="5"/>
  <c r="C24" i="5"/>
  <c r="F24" i="5"/>
  <c r="G24" i="5"/>
  <c r="E24" i="5"/>
  <c r="H24" i="5"/>
  <c r="I24" i="5"/>
  <c r="C23" i="5"/>
  <c r="F23" i="5"/>
  <c r="G23" i="5"/>
  <c r="E23" i="5"/>
  <c r="H23" i="5"/>
  <c r="I23" i="5"/>
  <c r="C22" i="5"/>
  <c r="F22" i="5"/>
  <c r="G22" i="5"/>
  <c r="E22" i="5"/>
  <c r="H22" i="5"/>
  <c r="I22" i="5"/>
  <c r="E21" i="5"/>
  <c r="H21" i="5"/>
  <c r="I21" i="5"/>
  <c r="C21" i="5"/>
  <c r="F21" i="5"/>
  <c r="G21" i="5"/>
  <c r="C20" i="5"/>
  <c r="F20" i="5"/>
  <c r="G20" i="5"/>
  <c r="E20" i="5"/>
  <c r="H20" i="5"/>
  <c r="I20" i="5"/>
  <c r="E19" i="5"/>
  <c r="H19" i="5"/>
  <c r="I19" i="5"/>
  <c r="C19" i="5"/>
  <c r="F19" i="5"/>
  <c r="G19" i="5"/>
  <c r="C18" i="5"/>
  <c r="F18" i="5"/>
  <c r="G18" i="5"/>
  <c r="E18" i="5"/>
  <c r="H18" i="5"/>
  <c r="I18" i="5"/>
  <c r="E17" i="5"/>
  <c r="H17" i="5"/>
  <c r="I17" i="5"/>
  <c r="C17" i="5"/>
  <c r="F17" i="5"/>
  <c r="G17" i="5"/>
  <c r="E16" i="5"/>
  <c r="H16" i="5"/>
  <c r="I16" i="5"/>
  <c r="C16" i="5"/>
  <c r="F16" i="5"/>
  <c r="G16" i="5"/>
  <c r="C15" i="5"/>
  <c r="F15" i="5"/>
  <c r="G15" i="5"/>
  <c r="E15" i="5"/>
  <c r="H15" i="5"/>
  <c r="I15" i="5"/>
  <c r="C14" i="5"/>
  <c r="F14" i="5"/>
  <c r="G14" i="5"/>
  <c r="E14" i="5"/>
  <c r="H14" i="5"/>
  <c r="I14" i="5"/>
  <c r="C13" i="5"/>
  <c r="F13" i="5"/>
  <c r="G13" i="5"/>
  <c r="E13" i="5"/>
  <c r="H13" i="5"/>
  <c r="I13" i="5"/>
  <c r="C12" i="5"/>
  <c r="F12" i="5"/>
  <c r="G12" i="5"/>
  <c r="E12" i="5"/>
  <c r="H12" i="5"/>
  <c r="I12" i="5"/>
  <c r="C11" i="5"/>
  <c r="F11" i="5"/>
  <c r="G11" i="5"/>
  <c r="E11" i="5"/>
  <c r="H11" i="5"/>
  <c r="I11" i="5"/>
  <c r="C10" i="5"/>
  <c r="F10" i="5"/>
  <c r="G10" i="5"/>
  <c r="E10" i="5"/>
  <c r="H10" i="5"/>
  <c r="I10" i="5"/>
  <c r="E9" i="5"/>
  <c r="H9" i="5"/>
  <c r="I9" i="5"/>
  <c r="C9" i="5"/>
  <c r="F9" i="5"/>
  <c r="G9" i="5"/>
  <c r="E8" i="5"/>
  <c r="H8" i="5"/>
  <c r="I8" i="5"/>
  <c r="C8" i="5"/>
  <c r="F8" i="5"/>
  <c r="G8" i="5"/>
  <c r="C7" i="5"/>
  <c r="F7" i="5"/>
  <c r="G7" i="5"/>
  <c r="E7" i="5"/>
  <c r="H7" i="5"/>
  <c r="I7" i="5"/>
  <c r="C6" i="5"/>
  <c r="F6" i="5"/>
  <c r="G6" i="5"/>
  <c r="E6" i="5"/>
  <c r="H6" i="5"/>
  <c r="I6" i="5"/>
  <c r="F5" i="5"/>
  <c r="C5" i="5"/>
  <c r="B53" i="5" s="1"/>
  <c r="G5" i="5"/>
  <c r="E5" i="5"/>
  <c r="H5" i="5"/>
  <c r="I5" i="5"/>
  <c r="C52" i="5" s="1"/>
  <c r="F22" i="1"/>
  <c r="G17" i="1" s="1"/>
  <c r="G21" i="1" l="1"/>
  <c r="G20" i="1"/>
  <c r="G19" i="1"/>
  <c r="G18" i="1"/>
  <c r="C53" i="5"/>
  <c r="B52" i="5"/>
  <c r="G22" i="1" l="1"/>
</calcChain>
</file>

<file path=xl/sharedStrings.xml><?xml version="1.0" encoding="utf-8"?>
<sst xmlns="http://schemas.openxmlformats.org/spreadsheetml/2006/main" count="113" uniqueCount="86">
  <si>
    <t>Risk-Averse Portfolio — Tracker</t>
  </si>
  <si>
    <t>Purpose</t>
  </si>
  <si>
    <t>Capital-preservation-tilted allocation for a low-risk-tolerance investor. Speculative satellites (bitcoin) and higher-volatility equity tilts (small-cap, EM) are dropped entirely. A large 50% bond allocation and a meaningful gold hedge do the heavy lifting; equity exposure is reduced but never eliminated, reflecting a still-long time horizon.</t>
  </si>
  <si>
    <t>Key Assumptions (edit the yellow cells)</t>
  </si>
  <si>
    <t>Initial investment (EUR)</t>
  </si>
  <si>
    <t>Start date</t>
  </si>
  <si>
    <t>Rebalancing frequency</t>
  </si>
  <si>
    <t>Quarterly</t>
  </si>
  <si>
    <t>Benchmark</t>
  </si>
  <si>
    <t>SXR8.DE</t>
  </si>
  <si>
    <t>iShares Core S&amp;P 500 UCITS ETF (Acc) — benchmark</t>
  </si>
  <si>
    <t>Helper: rows of price data entered</t>
  </si>
  <si>
    <t>Target Allocation</t>
  </si>
  <si>
    <t>Ticker</t>
  </si>
  <si>
    <t>Name</t>
  </si>
  <si>
    <t>Role</t>
  </si>
  <si>
    <t>Target Weight</t>
  </si>
  <si>
    <t>Target Amount (EUR)</t>
  </si>
  <si>
    <t>Current Value (EUR)</t>
  </si>
  <si>
    <t>Current Weight</t>
  </si>
  <si>
    <t>VWCE.DE</t>
  </si>
  <si>
    <t>Vanguard FTSE All-World UCITS ETF (Acc)</t>
  </si>
  <si>
    <t>Core global equity</t>
  </si>
  <si>
    <t>IWVL.L</t>
  </si>
  <si>
    <t>iShares Edge MSCI World Value Factor UCITS ETF (Acc)</t>
  </si>
  <si>
    <t>Value factor tilt (defensive-equity quality)</t>
  </si>
  <si>
    <t>EGLN.L</t>
  </si>
  <si>
    <t>iShares Physical Gold ETC</t>
  </si>
  <si>
    <t>Real-asset diversifier</t>
  </si>
  <si>
    <t>CMOP.L</t>
  </si>
  <si>
    <t>Invesco Bloomberg Commodity UCITS ETF (Acc)</t>
  </si>
  <si>
    <t>EUNA.DE</t>
  </si>
  <si>
    <t>iShares Core Global Aggregate Bond UCITS ETF EUR Hedged (Acc)</t>
  </si>
  <si>
    <t>Fixed income ballast</t>
  </si>
  <si>
    <t>TOTAL</t>
  </si>
  <si>
    <t>Investment Thesis</t>
  </si>
  <si>
    <t>• VWCE.DE: Reduced but not eliminated — even a risk-averse, long-horizon investor keeps a real equity growth engine.</t>
  </si>
  <si>
    <t>• IWVL.L: The one equity 'tilt' kept in this profile — value stocks are historically lower-beta than growth or small-cap, so this is a quality tilt, not a risk-seeking one.</t>
  </si>
  <si>
    <t>• EGLN.L: Gold plays a larger relative defensive role here — genuine crisis/inflation hedge, not just diversification for its own sake.</t>
  </si>
  <si>
    <t>• CMOP.L: Small commodity diversifier retained for the same reason as gold, at a modest size.</t>
  </si>
  <si>
    <t>• EUNA.DE: The dominant position in this portfolio — the primary volatility dampener and capital-preservation tool for a risk-averse investor.</t>
  </si>
  <si>
    <t>How to use this workbook</t>
  </si>
  <si>
    <t>1. Trade Log — every buy/sell, with reasoning (fill in as you trade).</t>
  </si>
  <si>
    <t>2. Price History — add a row each time you check in, all prices in EUR.</t>
  </si>
  <si>
    <t>3. Holdings — auto-calculated, do not edit.</t>
  </si>
  <si>
    <t>4. Dashboard — auto-calculated performance vs. S&amp;P 500 benchmark: returns, drawdown, volatility, chart.</t>
  </si>
  <si>
    <t>Trade Log</t>
  </si>
  <si>
    <t>Log every trade. For sells, enter Shares as NEGATIVE. Amount calculates automatically.</t>
  </si>
  <si>
    <t>Date</t>
  </si>
  <si>
    <t>Action</t>
  </si>
  <si>
    <t>Shares</t>
  </si>
  <si>
    <t>Price (EUR)</t>
  </si>
  <si>
    <t>Amount (EUR)</t>
  </si>
  <si>
    <t>Thesis / Notes</t>
  </si>
  <si>
    <t>Buy</t>
  </si>
  <si>
    <t>Reduced but not eliminated — even a risk-averse, long-horizon investor keeps a real equity growth engine.</t>
  </si>
  <si>
    <t>The one equity 'tilt' kept in this profile — value stocks are historically lower-beta than growth or small-cap, so this is a quality tilt, not a risk-seeking one.</t>
  </si>
  <si>
    <t>Gold plays a larger relative defensive role here — genuine crisis/inflation hedge, not just diversification for its own sake.</t>
  </si>
  <si>
    <t>Small commodity diversifier retained for the same reason as gold, at a modest size.</t>
  </si>
  <si>
    <t>The dominant position in this portfolio — the primary volatility dampener and capital-preservation tool for a risk-averse investor.</t>
  </si>
  <si>
    <t>Hypothetical parallel investment — same amount and date, 100% S&amp;P 500 for comparison.</t>
  </si>
  <si>
    <t>Price History</t>
  </si>
  <si>
    <t>Add a new row each time you check in. Enter every price in EUR.</t>
  </si>
  <si>
    <t>SXR8.DE (Benchmark)</t>
  </si>
  <si>
    <t>Holdings (auto-calculated — do not edit)</t>
  </si>
  <si>
    <t>Cumulative shares held as of each Price History date, derived from the Trade Log.</t>
  </si>
  <si>
    <t>Performance Dashboard</t>
  </si>
  <si>
    <t>Auto-calculated from Trade Log + Price History.</t>
  </si>
  <si>
    <t>Portfolio Value (EUR)</t>
  </si>
  <si>
    <t>Portfolio Cum. Return</t>
  </si>
  <si>
    <t>Benchmark Value (EUR)</t>
  </si>
  <si>
    <t>Benchmark Cum. Return</t>
  </si>
  <si>
    <t>Portfolio Peak</t>
  </si>
  <si>
    <t>Portfolio Drawdown</t>
  </si>
  <si>
    <t>Benchmark Peak</t>
  </si>
  <si>
    <t>Benchmark Drawdown</t>
  </si>
  <si>
    <t>Summary Statistics</t>
  </si>
  <si>
    <t>Metric</t>
  </si>
  <si>
    <t>Portfolio</t>
  </si>
  <si>
    <t>Benchmark (S&amp;P 500)</t>
  </si>
  <si>
    <t>Total Return</t>
  </si>
  <si>
    <t>CAGR (annualised)</t>
  </si>
  <si>
    <t>Max Drawdown</t>
  </si>
  <si>
    <t>Volatility (stdev of period returns)</t>
  </si>
  <si>
    <t>Outperformance vs Benchmark (Alpha)</t>
  </si>
  <si>
    <t>Note: CAGR and volatility are illustrative given limited history; treat with caution until you have 12+ months of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</si>
</sst>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€#,##0"/>
    <numFmt numFmtId="165" formatCode="0.0%"/>
    <numFmt numFmtId="166" formatCode="\€#,##0.00"/>
    <numFmt numFmtId="167" formatCode="\+0.0%;\-0.0%"/>
  </numFmts>
  <fonts count="8" x14ac:knownFonts="1">
    <font>
      <sz val="11"/>
      <color theme="1"/>
      <name val="Calibri"/>
      <family val="2"/>
      <charset val="1"/>
    </font>
    <font>
      <b/>
      <sz val="16"/>
      <color rgb="FF1F4E78"/>
      <name val="Arial"/>
      <family val="2"/>
    </font>
    <font>
      <b/>
      <sz val="12"/>
      <color rgb="FF1F4E7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i/>
      <sz val="9"/>
      <color rgb="FF808080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6" fillId="0" borderId="0" xfId="0" applyFont="1"/>
    <xf numFmtId="0" fontId="3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4" fillId="0" borderId="0" xfId="0" applyFont="1"/>
    <xf numFmtId="164" fontId="5" fillId="2" borderId="0" xfId="0" applyNumberFormat="1" applyFont="1" applyFill="1"/>
    <xf numFmtId="14" fontId="5" fillId="2" borderId="0" xfId="0" applyNumberFormat="1" applyFont="1" applyFill="1"/>
    <xf numFmtId="0" fontId="5" fillId="2" borderId="0" xfId="0" applyFont="1" applyFill="1"/>
    <xf numFmtId="0" fontId="3" fillId="0" borderId="0" xfId="0" applyFont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165" fontId="5" fillId="2" borderId="1" xfId="0" applyNumberFormat="1" applyFont="1" applyFill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4" fillId="0" borderId="1" xfId="0" applyFont="1" applyBorder="1"/>
    <xf numFmtId="0" fontId="0" fillId="0" borderId="1" xfId="0" applyBorder="1"/>
    <xf numFmtId="165" fontId="4" fillId="0" borderId="1" xfId="0" applyNumberFormat="1" applyFont="1" applyBorder="1"/>
    <xf numFmtId="164" fontId="4" fillId="0" borderId="1" xfId="0" applyNumberFormat="1" applyFont="1" applyBorder="1"/>
    <xf numFmtId="14" fontId="3" fillId="0" borderId="1" xfId="0" applyNumberFormat="1" applyFont="1" applyBorder="1"/>
    <xf numFmtId="0" fontId="5" fillId="2" borderId="1" xfId="0" applyFont="1" applyFill="1" applyBorder="1"/>
    <xf numFmtId="166" fontId="5" fillId="2" borderId="1" xfId="0" applyNumberFormat="1" applyFont="1" applyFill="1" applyBorder="1"/>
    <xf numFmtId="166" fontId="3" fillId="0" borderId="1" xfId="0" applyNumberFormat="1" applyFont="1" applyBorder="1"/>
    <xf numFmtId="166" fontId="0" fillId="0" borderId="1" xfId="0" applyNumberFormat="1" applyBorder="1"/>
    <xf numFmtId="14" fontId="5" fillId="2" borderId="1" xfId="0" applyNumberFormat="1" applyFont="1" applyFill="1" applyBorder="1"/>
    <xf numFmtId="14" fontId="3" fillId="0" borderId="0" xfId="0" applyNumberFormat="1" applyFont="1"/>
    <xf numFmtId="2" fontId="3" fillId="0" borderId="0" xfId="0" applyNumberFormat="1" applyFont="1"/>
    <xf numFmtId="164" fontId="3" fillId="0" borderId="0" xfId="0" applyNumberFormat="1" applyFont="1"/>
    <xf numFmtId="167" fontId="3" fillId="0" borderId="0" xfId="0" applyNumberFormat="1" applyFont="1"/>
    <xf numFmtId="167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Cumulative Return: Risk-Averse Portfolio vs S&amp;P 500 Benchmark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Dashboard!$C$4</c:f>
              <c:strCache>
                <c:ptCount val="1"/>
                <c:pt idx="0">
                  <c:v>Portfolio Cum. Return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Dashboard!$A$5:$A$45</c:f>
              <c:strCache>
                <c:ptCount val="1"/>
                <c:pt idx="0">
                  <c:v>12/09/2026</c:v>
                </c:pt>
              </c:strCache>
            </c:strRef>
          </c:cat>
          <c:val>
            <c:numRef>
              <c:f>Dashboard!$C$5:$C$45</c:f>
              <c:numCache>
                <c:formatCode>\+0.0%;\-0.0%</c:formatCode>
                <c:ptCount val="41"/>
                <c:pt idx="0">
                  <c:v>-3.5460000000098191E-5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92E-4830-9D2E-FE5E4B3375BF}"/>
            </c:ext>
          </c:extLst>
        </c:ser>
        <c:ser>
          <c:idx val="1"/>
          <c:order val="1"/>
          <c:tx>
            <c:strRef>
              <c:f>Dashboard!$E$4</c:f>
              <c:strCache>
                <c:ptCount val="1"/>
                <c:pt idx="0">
                  <c:v>Benchmark Cum. Return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Dashboard!$A$5:$A$45</c:f>
              <c:strCache>
                <c:ptCount val="1"/>
                <c:pt idx="0">
                  <c:v>12/09/2026</c:v>
                </c:pt>
              </c:strCache>
            </c:strRef>
          </c:cat>
          <c:val>
            <c:numRef>
              <c:f>Dashboard!$E$5:$E$45</c:f>
              <c:numCache>
                <c:formatCode>\+0.0%;\-0.0%</c:formatCode>
                <c:ptCount val="41"/>
                <c:pt idx="0">
                  <c:v>-3.5200000000001896E-4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92E-4830-9D2E-FE5E4B337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4088658"/>
        <c:axId val="49224133"/>
      </c:lineChart>
      <c:dateAx>
        <c:axId val="540886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/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224133"/>
        <c:crosses val="autoZero"/>
        <c:auto val="1"/>
        <c:lblOffset val="100"/>
        <c:baseTimeUnit val="days"/>
      </c:dateAx>
      <c:valAx>
        <c:axId val="492241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Cumulative Return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0886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131040</xdr:rowOff>
    </xdr:from>
    <xdr:to>
      <xdr:col>24</xdr:col>
      <xdr:colOff>78480</xdr:colOff>
      <xdr:row>20</xdr:row>
      <xdr:rowOff>151200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showGridLines="0" zoomScaleNormal="100" workbookViewId="0">
      <selection activeCell="M13" sqref="M13"/>
    </sheetView>
  </sheetViews>
  <sheetFormatPr defaultColWidth="8.6640625" defaultRowHeight="14.4" x14ac:dyDescent="0.3"/>
  <cols>
    <col min="1" max="1" width="22" customWidth="1"/>
    <col min="2" max="7" width="17" customWidth="1"/>
  </cols>
  <sheetData>
    <row r="1" spans="1:10" ht="21" x14ac:dyDescent="0.4">
      <c r="A1" s="3" t="s">
        <v>0</v>
      </c>
      <c r="B1" s="3"/>
      <c r="C1" s="3"/>
      <c r="D1" s="3"/>
      <c r="E1" s="3"/>
      <c r="F1" s="3"/>
      <c r="G1" s="3"/>
    </row>
    <row r="3" spans="1:10" ht="15.6" x14ac:dyDescent="0.3">
      <c r="A3" s="4" t="s">
        <v>1</v>
      </c>
    </row>
    <row r="4" spans="1:10" ht="54.75" customHeight="1" x14ac:dyDescent="0.3">
      <c r="A4" s="2" t="s">
        <v>2</v>
      </c>
      <c r="B4" s="2"/>
      <c r="C4" s="2"/>
      <c r="D4" s="2"/>
      <c r="E4" s="2"/>
      <c r="F4" s="2"/>
      <c r="G4" s="2"/>
    </row>
    <row r="5" spans="1:10" x14ac:dyDescent="0.3">
      <c r="A5" s="2"/>
      <c r="B5" s="2"/>
      <c r="C5" s="2"/>
      <c r="D5" s="2"/>
      <c r="E5" s="2"/>
      <c r="F5" s="2"/>
      <c r="G5" s="2"/>
    </row>
    <row r="6" spans="1:10" x14ac:dyDescent="0.3">
      <c r="A6" s="2"/>
      <c r="B6" s="2"/>
      <c r="C6" s="2"/>
      <c r="D6" s="2"/>
      <c r="E6" s="2"/>
      <c r="F6" s="2"/>
      <c r="G6" s="2"/>
    </row>
    <row r="8" spans="1:10" ht="15.6" x14ac:dyDescent="0.3">
      <c r="A8" s="4" t="s">
        <v>3</v>
      </c>
    </row>
    <row r="9" spans="1:10" x14ac:dyDescent="0.3">
      <c r="A9" s="5" t="s">
        <v>4</v>
      </c>
      <c r="B9" s="6">
        <v>10000</v>
      </c>
    </row>
    <row r="10" spans="1:10" x14ac:dyDescent="0.3">
      <c r="A10" s="5" t="s">
        <v>5</v>
      </c>
      <c r="B10" s="7">
        <v>46278</v>
      </c>
    </row>
    <row r="11" spans="1:10" x14ac:dyDescent="0.3">
      <c r="A11" s="5" t="s">
        <v>6</v>
      </c>
      <c r="B11" s="8" t="s">
        <v>7</v>
      </c>
    </row>
    <row r="12" spans="1:10" x14ac:dyDescent="0.3">
      <c r="A12" s="5" t="s">
        <v>8</v>
      </c>
      <c r="B12" s="9" t="s">
        <v>9</v>
      </c>
      <c r="C12" s="1" t="s">
        <v>10</v>
      </c>
      <c r="D12" s="1"/>
      <c r="E12" s="1"/>
      <c r="F12" s="1"/>
      <c r="G12" s="1"/>
    </row>
    <row r="14" spans="1:10" x14ac:dyDescent="0.3">
      <c r="I14" s="10" t="s">
        <v>11</v>
      </c>
      <c r="J14">
        <f>COUNTA('Price History'!A5:A45)</f>
        <v>1</v>
      </c>
    </row>
    <row r="15" spans="1:10" ht="15.6" x14ac:dyDescent="0.3">
      <c r="A15" s="4" t="s">
        <v>12</v>
      </c>
    </row>
    <row r="16" spans="1:10" ht="27.6" x14ac:dyDescent="0.3">
      <c r="A16" s="11" t="s">
        <v>13</v>
      </c>
      <c r="B16" s="11" t="s">
        <v>14</v>
      </c>
      <c r="C16" s="11" t="s">
        <v>15</v>
      </c>
      <c r="D16" s="11" t="s">
        <v>16</v>
      </c>
      <c r="E16" s="11" t="s">
        <v>17</v>
      </c>
      <c r="F16" s="11" t="s">
        <v>18</v>
      </c>
      <c r="G16" s="11" t="s">
        <v>19</v>
      </c>
    </row>
    <row r="17" spans="1:7" x14ac:dyDescent="0.3">
      <c r="A17" s="12" t="s">
        <v>20</v>
      </c>
      <c r="B17" s="12" t="s">
        <v>21</v>
      </c>
      <c r="C17" s="13" t="s">
        <v>22</v>
      </c>
      <c r="D17" s="14">
        <v>0.3</v>
      </c>
      <c r="E17" s="15">
        <f>$B$9*D17</f>
        <v>3000</v>
      </c>
      <c r="F17" s="15">
        <f>(IFERROR(INDEX('Price History'!B5:B45,$J$14),0))*(IFERROR(INDEX(Holdings!B5:B45,$J$14),0))</f>
        <v>2999.5199999999995</v>
      </c>
      <c r="G17" s="16">
        <f>IFERROR(F17/$F$22,0)</f>
        <v>0.29996263667509648</v>
      </c>
    </row>
    <row r="18" spans="1:7" ht="40.200000000000003" x14ac:dyDescent="0.3">
      <c r="A18" s="12" t="s">
        <v>23</v>
      </c>
      <c r="B18" s="12" t="s">
        <v>24</v>
      </c>
      <c r="C18" s="13" t="s">
        <v>25</v>
      </c>
      <c r="D18" s="14">
        <v>0.05</v>
      </c>
      <c r="E18" s="15">
        <f>$B$9*D18</f>
        <v>500</v>
      </c>
      <c r="F18" s="15">
        <f>(IFERROR(INDEX('Price History'!C5:C45,$J$14),0))*(IFERROR(INDEX(Holdings!C5:C45,$J$14),0))</f>
        <v>500.2</v>
      </c>
      <c r="G18" s="16">
        <f>IFERROR(F18/$F$22,0)</f>
        <v>5.002177377209796E-2</v>
      </c>
    </row>
    <row r="19" spans="1:7" ht="27" x14ac:dyDescent="0.3">
      <c r="A19" s="12" t="s">
        <v>26</v>
      </c>
      <c r="B19" s="12" t="s">
        <v>27</v>
      </c>
      <c r="C19" s="13" t="s">
        <v>28</v>
      </c>
      <c r="D19" s="14">
        <v>0.1</v>
      </c>
      <c r="E19" s="15">
        <f>$B$9*D19</f>
        <v>1000</v>
      </c>
      <c r="F19" s="15">
        <f>(IFERROR(INDEX('Price History'!D5:D45,$J$14),0))*(IFERROR(INDEX(Holdings!D5:D45,$J$14),0))</f>
        <v>999.87880000000007</v>
      </c>
      <c r="G19" s="16">
        <f>IFERROR(F19/$F$22,0)</f>
        <v>9.9991425695955191E-2</v>
      </c>
    </row>
    <row r="20" spans="1:7" ht="27" x14ac:dyDescent="0.3">
      <c r="A20" s="12" t="s">
        <v>29</v>
      </c>
      <c r="B20" s="12" t="s">
        <v>30</v>
      </c>
      <c r="C20" s="13" t="s">
        <v>28</v>
      </c>
      <c r="D20" s="14">
        <v>0.05</v>
      </c>
      <c r="E20" s="15">
        <f>$B$9*D20</f>
        <v>500</v>
      </c>
      <c r="F20" s="15">
        <f>(IFERROR(INDEX('Price History'!E5:E45,$J$14),0))*(IFERROR(INDEX(Holdings!E5:E45,$J$14),0))</f>
        <v>500.0376</v>
      </c>
      <c r="G20" s="16">
        <f>IFERROR(F20/$F$22,0)</f>
        <v>5.0005533196207139E-2</v>
      </c>
    </row>
    <row r="21" spans="1:7" ht="27" x14ac:dyDescent="0.3">
      <c r="A21" s="12" t="s">
        <v>31</v>
      </c>
      <c r="B21" s="12" t="s">
        <v>32</v>
      </c>
      <c r="C21" s="13" t="s">
        <v>33</v>
      </c>
      <c r="D21" s="14">
        <v>0.5</v>
      </c>
      <c r="E21" s="15">
        <f>$B$9*D21</f>
        <v>5000</v>
      </c>
      <c r="F21" s="15">
        <f>(IFERROR(INDEX('Price History'!F5:F45,$J$14),0))*(IFERROR(INDEX(Holdings!F5:F45,$J$14),0))</f>
        <v>5000.009</v>
      </c>
      <c r="G21" s="16">
        <f>IFERROR(F21/$F$22,0)</f>
        <v>0.50001863066064323</v>
      </c>
    </row>
    <row r="22" spans="1:7" x14ac:dyDescent="0.3">
      <c r="A22" s="17" t="s">
        <v>34</v>
      </c>
      <c r="B22" s="18"/>
      <c r="C22" s="18"/>
      <c r="D22" s="19">
        <f>SUM(D17:D21)</f>
        <v>1</v>
      </c>
      <c r="E22" s="20">
        <f>SUM(E17:E21)</f>
        <v>10000</v>
      </c>
      <c r="F22" s="20">
        <f>SUM(F17:F21)</f>
        <v>9999.6453999999994</v>
      </c>
      <c r="G22" s="19">
        <f>SUM(G17:G21)</f>
        <v>1</v>
      </c>
    </row>
    <row r="25" spans="1:7" ht="15.6" x14ac:dyDescent="0.3">
      <c r="A25" s="4" t="s">
        <v>35</v>
      </c>
    </row>
    <row r="26" spans="1:7" ht="27.75" customHeight="1" x14ac:dyDescent="0.3">
      <c r="A26" s="2" t="s">
        <v>36</v>
      </c>
      <c r="B26" s="2"/>
      <c r="C26" s="2"/>
      <c r="D26" s="2"/>
      <c r="E26" s="2"/>
      <c r="F26" s="2"/>
      <c r="G26" s="2"/>
    </row>
    <row r="27" spans="1:7" ht="27.75" customHeight="1" x14ac:dyDescent="0.3">
      <c r="A27" s="2" t="s">
        <v>37</v>
      </c>
      <c r="B27" s="2"/>
      <c r="C27" s="2"/>
      <c r="D27" s="2"/>
      <c r="E27" s="2"/>
      <c r="F27" s="2"/>
      <c r="G27" s="2"/>
    </row>
    <row r="28" spans="1:7" ht="27.75" customHeight="1" x14ac:dyDescent="0.3">
      <c r="A28" s="2" t="s">
        <v>38</v>
      </c>
      <c r="B28" s="2"/>
      <c r="C28" s="2"/>
      <c r="D28" s="2"/>
      <c r="E28" s="2"/>
      <c r="F28" s="2"/>
      <c r="G28" s="2"/>
    </row>
    <row r="29" spans="1:7" ht="27.75" customHeight="1" x14ac:dyDescent="0.3">
      <c r="A29" s="2" t="s">
        <v>39</v>
      </c>
      <c r="B29" s="2"/>
      <c r="C29" s="2"/>
      <c r="D29" s="2"/>
      <c r="E29" s="2"/>
      <c r="F29" s="2"/>
      <c r="G29" s="2"/>
    </row>
    <row r="30" spans="1:7" ht="27.75" customHeight="1" x14ac:dyDescent="0.3">
      <c r="A30" s="2" t="s">
        <v>40</v>
      </c>
      <c r="B30" s="2"/>
      <c r="C30" s="2"/>
      <c r="D30" s="2"/>
      <c r="E30" s="2"/>
      <c r="F30" s="2"/>
      <c r="G30" s="2"/>
    </row>
    <row r="32" spans="1:7" ht="15.6" x14ac:dyDescent="0.3">
      <c r="A32" s="4" t="s">
        <v>41</v>
      </c>
    </row>
    <row r="33" spans="1:7" x14ac:dyDescent="0.3">
      <c r="A33" s="1" t="s">
        <v>42</v>
      </c>
      <c r="B33" s="1"/>
      <c r="C33" s="1"/>
      <c r="D33" s="1"/>
      <c r="E33" s="1"/>
      <c r="F33" s="1"/>
      <c r="G33" s="1"/>
    </row>
    <row r="34" spans="1:7" x14ac:dyDescent="0.3">
      <c r="A34" s="1" t="s">
        <v>43</v>
      </c>
      <c r="B34" s="1"/>
      <c r="C34" s="1"/>
      <c r="D34" s="1"/>
      <c r="E34" s="1"/>
      <c r="F34" s="1"/>
      <c r="G34" s="1"/>
    </row>
    <row r="35" spans="1:7" x14ac:dyDescent="0.3">
      <c r="A35" s="1" t="s">
        <v>44</v>
      </c>
      <c r="B35" s="1"/>
      <c r="C35" s="1"/>
      <c r="D35" s="1"/>
      <c r="E35" s="1"/>
      <c r="F35" s="1"/>
      <c r="G35" s="1"/>
    </row>
    <row r="36" spans="1:7" x14ac:dyDescent="0.3">
      <c r="A36" s="1" t="s">
        <v>45</v>
      </c>
      <c r="B36" s="1"/>
      <c r="C36" s="1"/>
      <c r="D36" s="1"/>
      <c r="E36" s="1"/>
      <c r="F36" s="1"/>
      <c r="G36" s="1"/>
    </row>
  </sheetData>
  <mergeCells count="12">
    <mergeCell ref="A35:G35"/>
    <mergeCell ref="A36:G36"/>
    <mergeCell ref="A28:G28"/>
    <mergeCell ref="A29:G29"/>
    <mergeCell ref="A30:G30"/>
    <mergeCell ref="A33:G33"/>
    <mergeCell ref="A34:G34"/>
    <mergeCell ref="A1:G1"/>
    <mergeCell ref="A4:G6"/>
    <mergeCell ref="C12:G12"/>
    <mergeCell ref="A26:G26"/>
    <mergeCell ref="A27:G2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"/>
  <sheetViews>
    <sheetView showGridLines="0" zoomScaleNormal="100" workbookViewId="0">
      <selection sqref="A1:G1"/>
    </sheetView>
  </sheetViews>
  <sheetFormatPr defaultColWidth="8.6640625" defaultRowHeight="14.4" x14ac:dyDescent="0.3"/>
  <cols>
    <col min="1" max="1" width="12" customWidth="1"/>
    <col min="2" max="2" width="10" customWidth="1"/>
    <col min="3" max="3" width="8" customWidth="1"/>
    <col min="4" max="4" width="10" customWidth="1"/>
    <col min="5" max="6" width="12" customWidth="1"/>
    <col min="7" max="7" width="55" customWidth="1"/>
  </cols>
  <sheetData>
    <row r="1" spans="1:7" ht="21" x14ac:dyDescent="0.4">
      <c r="A1" s="3" t="s">
        <v>46</v>
      </c>
      <c r="B1" s="3"/>
      <c r="C1" s="3"/>
      <c r="D1" s="3"/>
      <c r="E1" s="3"/>
      <c r="F1" s="3"/>
      <c r="G1" s="3"/>
    </row>
    <row r="2" spans="1:7" ht="19.5" customHeight="1" x14ac:dyDescent="0.3">
      <c r="A2" s="1" t="s">
        <v>47</v>
      </c>
      <c r="B2" s="1"/>
      <c r="C2" s="1"/>
      <c r="D2" s="1"/>
      <c r="E2" s="1"/>
      <c r="F2" s="1"/>
      <c r="G2" s="1"/>
    </row>
    <row r="4" spans="1:7" ht="27.6" x14ac:dyDescent="0.3">
      <c r="A4" s="11" t="s">
        <v>48</v>
      </c>
      <c r="B4" s="11" t="s">
        <v>13</v>
      </c>
      <c r="C4" s="11" t="s">
        <v>49</v>
      </c>
      <c r="D4" s="11" t="s">
        <v>50</v>
      </c>
      <c r="E4" s="11" t="s">
        <v>51</v>
      </c>
      <c r="F4" s="11" t="s">
        <v>52</v>
      </c>
      <c r="G4" s="11" t="s">
        <v>53</v>
      </c>
    </row>
    <row r="5" spans="1:7" ht="27" x14ac:dyDescent="0.3">
      <c r="A5" s="21">
        <v>46277</v>
      </c>
      <c r="B5" s="12" t="s">
        <v>20</v>
      </c>
      <c r="C5" s="12" t="s">
        <v>54</v>
      </c>
      <c r="D5" s="22">
        <v>18</v>
      </c>
      <c r="E5" s="23">
        <v>166.64</v>
      </c>
      <c r="F5" s="24">
        <f t="shared" ref="F5:F10" si="0">D5*E5</f>
        <v>2999.5199999999995</v>
      </c>
      <c r="G5" s="13" t="s">
        <v>55</v>
      </c>
    </row>
    <row r="6" spans="1:7" ht="40.200000000000003" x14ac:dyDescent="0.3">
      <c r="A6" s="21">
        <v>46277</v>
      </c>
      <c r="B6" s="12" t="s">
        <v>23</v>
      </c>
      <c r="C6" s="12" t="s">
        <v>54</v>
      </c>
      <c r="D6" s="22">
        <v>6.1</v>
      </c>
      <c r="E6" s="23">
        <v>82</v>
      </c>
      <c r="F6" s="24">
        <f t="shared" si="0"/>
        <v>500.2</v>
      </c>
      <c r="G6" s="13" t="s">
        <v>56</v>
      </c>
    </row>
    <row r="7" spans="1:7" ht="27" x14ac:dyDescent="0.3">
      <c r="A7" s="21">
        <v>46277</v>
      </c>
      <c r="B7" s="12" t="s">
        <v>26</v>
      </c>
      <c r="C7" s="12" t="s">
        <v>54</v>
      </c>
      <c r="D7" s="22">
        <v>13.49</v>
      </c>
      <c r="E7" s="23">
        <v>74.12</v>
      </c>
      <c r="F7" s="24">
        <f t="shared" si="0"/>
        <v>999.87880000000007</v>
      </c>
      <c r="G7" s="13" t="s">
        <v>57</v>
      </c>
    </row>
    <row r="8" spans="1:7" ht="27" x14ac:dyDescent="0.3">
      <c r="A8" s="21">
        <v>46277</v>
      </c>
      <c r="B8" s="12" t="s">
        <v>29</v>
      </c>
      <c r="C8" s="12" t="s">
        <v>54</v>
      </c>
      <c r="D8" s="22">
        <v>21.36</v>
      </c>
      <c r="E8" s="23">
        <v>23.41</v>
      </c>
      <c r="F8" s="24">
        <f t="shared" si="0"/>
        <v>500.0376</v>
      </c>
      <c r="G8" s="13" t="s">
        <v>58</v>
      </c>
    </row>
    <row r="9" spans="1:7" ht="27" x14ac:dyDescent="0.3">
      <c r="A9" s="21">
        <v>46277</v>
      </c>
      <c r="B9" s="12" t="s">
        <v>31</v>
      </c>
      <c r="C9" s="12" t="s">
        <v>54</v>
      </c>
      <c r="D9" s="22">
        <v>1020.41</v>
      </c>
      <c r="E9" s="23">
        <v>4.9000000000000004</v>
      </c>
      <c r="F9" s="24">
        <f t="shared" si="0"/>
        <v>5000.009</v>
      </c>
      <c r="G9" s="13" t="s">
        <v>59</v>
      </c>
    </row>
    <row r="10" spans="1:7" ht="27" x14ac:dyDescent="0.3">
      <c r="A10" s="21">
        <v>46277</v>
      </c>
      <c r="B10" s="12" t="s">
        <v>9</v>
      </c>
      <c r="C10" s="12" t="s">
        <v>54</v>
      </c>
      <c r="D10" s="22">
        <v>14.04</v>
      </c>
      <c r="E10" s="23">
        <v>712</v>
      </c>
      <c r="F10" s="24">
        <f t="shared" si="0"/>
        <v>9996.48</v>
      </c>
      <c r="G10" s="13" t="s">
        <v>60</v>
      </c>
    </row>
    <row r="11" spans="1:7" x14ac:dyDescent="0.3">
      <c r="A11" s="18"/>
      <c r="B11" s="18"/>
      <c r="C11" s="18"/>
      <c r="D11" s="18"/>
      <c r="E11" s="18"/>
      <c r="F11" s="25" t="str">
        <f t="shared" ref="F11:F50" si="1">IF(OR(D11="",E11=""),"",D11*E11)</f>
        <v/>
      </c>
      <c r="G11" s="18"/>
    </row>
    <row r="12" spans="1:7" x14ac:dyDescent="0.3">
      <c r="A12" s="18"/>
      <c r="B12" s="18"/>
      <c r="C12" s="18"/>
      <c r="D12" s="18"/>
      <c r="E12" s="18"/>
      <c r="F12" s="25" t="str">
        <f t="shared" si="1"/>
        <v/>
      </c>
      <c r="G12" s="18"/>
    </row>
    <row r="13" spans="1:7" x14ac:dyDescent="0.3">
      <c r="A13" s="18"/>
      <c r="B13" s="18"/>
      <c r="C13" s="18"/>
      <c r="D13" s="18"/>
      <c r="E13" s="18"/>
      <c r="F13" s="25" t="str">
        <f t="shared" si="1"/>
        <v/>
      </c>
      <c r="G13" s="18"/>
    </row>
    <row r="14" spans="1:7" x14ac:dyDescent="0.3">
      <c r="A14" s="18"/>
      <c r="B14" s="18"/>
      <c r="C14" s="18"/>
      <c r="D14" s="18"/>
      <c r="E14" s="18"/>
      <c r="F14" s="25" t="str">
        <f t="shared" si="1"/>
        <v/>
      </c>
      <c r="G14" s="18"/>
    </row>
    <row r="15" spans="1:7" x14ac:dyDescent="0.3">
      <c r="A15" s="18"/>
      <c r="B15" s="18"/>
      <c r="C15" s="18"/>
      <c r="D15" s="18"/>
      <c r="E15" s="18"/>
      <c r="F15" s="25" t="str">
        <f t="shared" si="1"/>
        <v/>
      </c>
      <c r="G15" s="18"/>
    </row>
    <row r="16" spans="1:7" x14ac:dyDescent="0.3">
      <c r="A16" s="18"/>
      <c r="B16" s="18"/>
      <c r="C16" s="18"/>
      <c r="D16" s="18"/>
      <c r="E16" s="18"/>
      <c r="F16" s="25" t="str">
        <f t="shared" si="1"/>
        <v/>
      </c>
      <c r="G16" s="18"/>
    </row>
    <row r="17" spans="1:7" x14ac:dyDescent="0.3">
      <c r="A17" s="18"/>
      <c r="B17" s="18"/>
      <c r="C17" s="18"/>
      <c r="D17" s="18"/>
      <c r="E17" s="18"/>
      <c r="F17" s="25" t="str">
        <f t="shared" si="1"/>
        <v/>
      </c>
      <c r="G17" s="18"/>
    </row>
    <row r="18" spans="1:7" x14ac:dyDescent="0.3">
      <c r="A18" s="18"/>
      <c r="B18" s="18"/>
      <c r="C18" s="18"/>
      <c r="D18" s="18"/>
      <c r="E18" s="18"/>
      <c r="F18" s="25" t="str">
        <f t="shared" si="1"/>
        <v/>
      </c>
      <c r="G18" s="18"/>
    </row>
    <row r="19" spans="1:7" x14ac:dyDescent="0.3">
      <c r="A19" s="18"/>
      <c r="B19" s="18"/>
      <c r="C19" s="18"/>
      <c r="D19" s="18"/>
      <c r="E19" s="18"/>
      <c r="F19" s="25" t="str">
        <f t="shared" si="1"/>
        <v/>
      </c>
      <c r="G19" s="18"/>
    </row>
    <row r="20" spans="1:7" x14ac:dyDescent="0.3">
      <c r="A20" s="18"/>
      <c r="B20" s="18"/>
      <c r="C20" s="18"/>
      <c r="D20" s="18"/>
      <c r="E20" s="18"/>
      <c r="F20" s="25" t="str">
        <f t="shared" si="1"/>
        <v/>
      </c>
      <c r="G20" s="18"/>
    </row>
    <row r="21" spans="1:7" x14ac:dyDescent="0.3">
      <c r="A21" s="18"/>
      <c r="B21" s="18"/>
      <c r="C21" s="18"/>
      <c r="D21" s="18"/>
      <c r="E21" s="18"/>
      <c r="F21" s="25" t="str">
        <f t="shared" si="1"/>
        <v/>
      </c>
      <c r="G21" s="18"/>
    </row>
    <row r="22" spans="1:7" x14ac:dyDescent="0.3">
      <c r="A22" s="18"/>
      <c r="B22" s="18"/>
      <c r="C22" s="18"/>
      <c r="D22" s="18"/>
      <c r="E22" s="18"/>
      <c r="F22" s="25" t="str">
        <f t="shared" si="1"/>
        <v/>
      </c>
      <c r="G22" s="18"/>
    </row>
    <row r="23" spans="1:7" x14ac:dyDescent="0.3">
      <c r="A23" s="18"/>
      <c r="B23" s="18"/>
      <c r="C23" s="18"/>
      <c r="D23" s="18"/>
      <c r="E23" s="18"/>
      <c r="F23" s="25" t="str">
        <f t="shared" si="1"/>
        <v/>
      </c>
      <c r="G23" s="18"/>
    </row>
    <row r="24" spans="1:7" x14ac:dyDescent="0.3">
      <c r="A24" s="18"/>
      <c r="B24" s="18"/>
      <c r="C24" s="18"/>
      <c r="D24" s="18"/>
      <c r="E24" s="18"/>
      <c r="F24" s="25" t="str">
        <f t="shared" si="1"/>
        <v/>
      </c>
      <c r="G24" s="18"/>
    </row>
    <row r="25" spans="1:7" x14ac:dyDescent="0.3">
      <c r="A25" s="18"/>
      <c r="B25" s="18"/>
      <c r="C25" s="18"/>
      <c r="D25" s="18"/>
      <c r="E25" s="18"/>
      <c r="F25" s="25" t="str">
        <f t="shared" si="1"/>
        <v/>
      </c>
      <c r="G25" s="18"/>
    </row>
    <row r="26" spans="1:7" x14ac:dyDescent="0.3">
      <c r="A26" s="18"/>
      <c r="B26" s="18"/>
      <c r="C26" s="18"/>
      <c r="D26" s="18"/>
      <c r="E26" s="18"/>
      <c r="F26" s="25" t="str">
        <f t="shared" si="1"/>
        <v/>
      </c>
      <c r="G26" s="18"/>
    </row>
    <row r="27" spans="1:7" x14ac:dyDescent="0.3">
      <c r="A27" s="18"/>
      <c r="B27" s="18"/>
      <c r="C27" s="18"/>
      <c r="D27" s="18"/>
      <c r="E27" s="18"/>
      <c r="F27" s="25" t="str">
        <f t="shared" si="1"/>
        <v/>
      </c>
      <c r="G27" s="18"/>
    </row>
    <row r="28" spans="1:7" x14ac:dyDescent="0.3">
      <c r="A28" s="18"/>
      <c r="B28" s="18"/>
      <c r="C28" s="18"/>
      <c r="D28" s="18"/>
      <c r="E28" s="18"/>
      <c r="F28" s="25" t="str">
        <f t="shared" si="1"/>
        <v/>
      </c>
      <c r="G28" s="18"/>
    </row>
    <row r="29" spans="1:7" x14ac:dyDescent="0.3">
      <c r="A29" s="18"/>
      <c r="B29" s="18"/>
      <c r="C29" s="18"/>
      <c r="D29" s="18"/>
      <c r="E29" s="18"/>
      <c r="F29" s="25" t="str">
        <f t="shared" si="1"/>
        <v/>
      </c>
      <c r="G29" s="18"/>
    </row>
    <row r="30" spans="1:7" x14ac:dyDescent="0.3">
      <c r="A30" s="18"/>
      <c r="B30" s="18"/>
      <c r="C30" s="18"/>
      <c r="D30" s="18"/>
      <c r="E30" s="18"/>
      <c r="F30" s="25" t="str">
        <f t="shared" si="1"/>
        <v/>
      </c>
      <c r="G30" s="18"/>
    </row>
    <row r="31" spans="1:7" x14ac:dyDescent="0.3">
      <c r="A31" s="18"/>
      <c r="B31" s="18"/>
      <c r="C31" s="18"/>
      <c r="D31" s="18"/>
      <c r="E31" s="18"/>
      <c r="F31" s="25" t="str">
        <f t="shared" si="1"/>
        <v/>
      </c>
      <c r="G31" s="18"/>
    </row>
    <row r="32" spans="1:7" x14ac:dyDescent="0.3">
      <c r="A32" s="18"/>
      <c r="B32" s="18"/>
      <c r="C32" s="18"/>
      <c r="D32" s="18"/>
      <c r="E32" s="18"/>
      <c r="F32" s="25" t="str">
        <f t="shared" si="1"/>
        <v/>
      </c>
      <c r="G32" s="18"/>
    </row>
    <row r="33" spans="1:7" x14ac:dyDescent="0.3">
      <c r="A33" s="18"/>
      <c r="B33" s="18"/>
      <c r="C33" s="18"/>
      <c r="D33" s="18"/>
      <c r="E33" s="18"/>
      <c r="F33" s="25" t="str">
        <f t="shared" si="1"/>
        <v/>
      </c>
      <c r="G33" s="18"/>
    </row>
    <row r="34" spans="1:7" x14ac:dyDescent="0.3">
      <c r="A34" s="18"/>
      <c r="B34" s="18"/>
      <c r="C34" s="18"/>
      <c r="D34" s="18"/>
      <c r="E34" s="18"/>
      <c r="F34" s="25" t="str">
        <f t="shared" si="1"/>
        <v/>
      </c>
      <c r="G34" s="18"/>
    </row>
    <row r="35" spans="1:7" x14ac:dyDescent="0.3">
      <c r="A35" s="18"/>
      <c r="B35" s="18"/>
      <c r="C35" s="18"/>
      <c r="D35" s="18"/>
      <c r="E35" s="18"/>
      <c r="F35" s="25" t="str">
        <f t="shared" si="1"/>
        <v/>
      </c>
      <c r="G35" s="18"/>
    </row>
    <row r="36" spans="1:7" x14ac:dyDescent="0.3">
      <c r="A36" s="18"/>
      <c r="B36" s="18"/>
      <c r="C36" s="18"/>
      <c r="D36" s="18"/>
      <c r="E36" s="18"/>
      <c r="F36" s="25" t="str">
        <f t="shared" si="1"/>
        <v/>
      </c>
      <c r="G36" s="18"/>
    </row>
    <row r="37" spans="1:7" x14ac:dyDescent="0.3">
      <c r="A37" s="18"/>
      <c r="B37" s="18"/>
      <c r="C37" s="18"/>
      <c r="D37" s="18"/>
      <c r="E37" s="18"/>
      <c r="F37" s="25" t="str">
        <f t="shared" si="1"/>
        <v/>
      </c>
      <c r="G37" s="18"/>
    </row>
    <row r="38" spans="1:7" x14ac:dyDescent="0.3">
      <c r="A38" s="18"/>
      <c r="B38" s="18"/>
      <c r="C38" s="18"/>
      <c r="D38" s="18"/>
      <c r="E38" s="18"/>
      <c r="F38" s="25" t="str">
        <f t="shared" si="1"/>
        <v/>
      </c>
      <c r="G38" s="18"/>
    </row>
    <row r="39" spans="1:7" x14ac:dyDescent="0.3">
      <c r="A39" s="18"/>
      <c r="B39" s="18"/>
      <c r="C39" s="18"/>
      <c r="D39" s="18"/>
      <c r="E39" s="18"/>
      <c r="F39" s="25" t="str">
        <f t="shared" si="1"/>
        <v/>
      </c>
      <c r="G39" s="18"/>
    </row>
    <row r="40" spans="1:7" x14ac:dyDescent="0.3">
      <c r="A40" s="18"/>
      <c r="B40" s="18"/>
      <c r="C40" s="18"/>
      <c r="D40" s="18"/>
      <c r="E40" s="18"/>
      <c r="F40" s="25" t="str">
        <f t="shared" si="1"/>
        <v/>
      </c>
      <c r="G40" s="18"/>
    </row>
    <row r="41" spans="1:7" x14ac:dyDescent="0.3">
      <c r="A41" s="18"/>
      <c r="B41" s="18"/>
      <c r="C41" s="18"/>
      <c r="D41" s="18"/>
      <c r="E41" s="18"/>
      <c r="F41" s="25" t="str">
        <f t="shared" si="1"/>
        <v/>
      </c>
      <c r="G41" s="18"/>
    </row>
    <row r="42" spans="1:7" x14ac:dyDescent="0.3">
      <c r="A42" s="18"/>
      <c r="B42" s="18"/>
      <c r="C42" s="18"/>
      <c r="D42" s="18"/>
      <c r="E42" s="18"/>
      <c r="F42" s="25" t="str">
        <f t="shared" si="1"/>
        <v/>
      </c>
      <c r="G42" s="18"/>
    </row>
    <row r="43" spans="1:7" x14ac:dyDescent="0.3">
      <c r="A43" s="18"/>
      <c r="B43" s="18"/>
      <c r="C43" s="18"/>
      <c r="D43" s="18"/>
      <c r="E43" s="18"/>
      <c r="F43" s="25" t="str">
        <f t="shared" si="1"/>
        <v/>
      </c>
      <c r="G43" s="18"/>
    </row>
    <row r="44" spans="1:7" x14ac:dyDescent="0.3">
      <c r="A44" s="18"/>
      <c r="B44" s="18"/>
      <c r="C44" s="18"/>
      <c r="D44" s="18"/>
      <c r="E44" s="18"/>
      <c r="F44" s="25" t="str">
        <f t="shared" si="1"/>
        <v/>
      </c>
      <c r="G44" s="18"/>
    </row>
    <row r="45" spans="1:7" x14ac:dyDescent="0.3">
      <c r="A45" s="18"/>
      <c r="B45" s="18"/>
      <c r="C45" s="18"/>
      <c r="D45" s="18"/>
      <c r="E45" s="18"/>
      <c r="F45" s="25" t="str">
        <f t="shared" si="1"/>
        <v/>
      </c>
      <c r="G45" s="18"/>
    </row>
    <row r="46" spans="1:7" x14ac:dyDescent="0.3">
      <c r="A46" s="18"/>
      <c r="B46" s="18"/>
      <c r="C46" s="18"/>
      <c r="D46" s="18"/>
      <c r="E46" s="18"/>
      <c r="F46" s="25" t="str">
        <f t="shared" si="1"/>
        <v/>
      </c>
      <c r="G46" s="18"/>
    </row>
    <row r="47" spans="1:7" x14ac:dyDescent="0.3">
      <c r="A47" s="18"/>
      <c r="B47" s="18"/>
      <c r="C47" s="18"/>
      <c r="D47" s="18"/>
      <c r="E47" s="18"/>
      <c r="F47" s="25" t="str">
        <f t="shared" si="1"/>
        <v/>
      </c>
      <c r="G47" s="18"/>
    </row>
    <row r="48" spans="1:7" x14ac:dyDescent="0.3">
      <c r="A48" s="18"/>
      <c r="B48" s="18"/>
      <c r="C48" s="18"/>
      <c r="D48" s="18"/>
      <c r="E48" s="18"/>
      <c r="F48" s="25" t="str">
        <f t="shared" si="1"/>
        <v/>
      </c>
      <c r="G48" s="18"/>
    </row>
    <row r="49" spans="1:7" x14ac:dyDescent="0.3">
      <c r="A49" s="18"/>
      <c r="B49" s="18"/>
      <c r="C49" s="18"/>
      <c r="D49" s="18"/>
      <c r="E49" s="18"/>
      <c r="F49" s="25" t="str">
        <f t="shared" si="1"/>
        <v/>
      </c>
      <c r="G49" s="18"/>
    </row>
    <row r="50" spans="1:7" x14ac:dyDescent="0.3">
      <c r="A50" s="18"/>
      <c r="B50" s="18"/>
      <c r="C50" s="18"/>
      <c r="D50" s="18"/>
      <c r="E50" s="18"/>
      <c r="F50" s="25" t="str">
        <f t="shared" si="1"/>
        <v/>
      </c>
      <c r="G50" s="18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5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1" width="13" customWidth="1"/>
    <col min="2" max="7" width="14" customWidth="1"/>
  </cols>
  <sheetData>
    <row r="1" spans="1:8" ht="21" x14ac:dyDescent="0.4">
      <c r="A1" s="3" t="s">
        <v>61</v>
      </c>
      <c r="B1" s="3"/>
      <c r="C1" s="3"/>
      <c r="D1" s="3"/>
      <c r="E1" s="3"/>
      <c r="F1" s="3"/>
      <c r="G1" s="3"/>
      <c r="H1" s="3"/>
    </row>
    <row r="2" spans="1:8" x14ac:dyDescent="0.3">
      <c r="A2" s="1" t="s">
        <v>62</v>
      </c>
      <c r="B2" s="1"/>
      <c r="C2" s="1"/>
      <c r="D2" s="1"/>
      <c r="E2" s="1"/>
      <c r="F2" s="1"/>
      <c r="G2" s="1"/>
      <c r="H2" s="1"/>
    </row>
    <row r="4" spans="1:8" ht="27.6" x14ac:dyDescent="0.3">
      <c r="A4" s="11" t="s">
        <v>48</v>
      </c>
      <c r="B4" s="11" t="s">
        <v>20</v>
      </c>
      <c r="C4" s="11" t="s">
        <v>23</v>
      </c>
      <c r="D4" s="11" t="s">
        <v>26</v>
      </c>
      <c r="E4" s="11" t="s">
        <v>29</v>
      </c>
      <c r="F4" s="11" t="s">
        <v>31</v>
      </c>
      <c r="G4" s="11" t="s">
        <v>63</v>
      </c>
    </row>
    <row r="5" spans="1:8" x14ac:dyDescent="0.3">
      <c r="A5" s="26">
        <v>46277</v>
      </c>
      <c r="B5" s="23">
        <v>166.64</v>
      </c>
      <c r="C5" s="23">
        <v>82</v>
      </c>
      <c r="D5" s="23">
        <v>74.12</v>
      </c>
      <c r="E5" s="23">
        <v>23.41</v>
      </c>
      <c r="F5" s="23">
        <v>4.9000000000000004</v>
      </c>
      <c r="G5" s="23">
        <v>712</v>
      </c>
    </row>
    <row r="6" spans="1:8" x14ac:dyDescent="0.3">
      <c r="A6" s="18"/>
      <c r="B6" s="25"/>
      <c r="C6" s="25"/>
      <c r="D6" s="25"/>
      <c r="E6" s="25"/>
      <c r="F6" s="25"/>
      <c r="G6" s="25"/>
    </row>
    <row r="7" spans="1:8" x14ac:dyDescent="0.3">
      <c r="A7" s="18"/>
      <c r="B7" s="25"/>
      <c r="C7" s="25"/>
      <c r="D7" s="25"/>
      <c r="E7" s="25"/>
      <c r="F7" s="25"/>
      <c r="G7" s="25"/>
    </row>
    <row r="8" spans="1:8" x14ac:dyDescent="0.3">
      <c r="A8" s="18"/>
      <c r="B8" s="25"/>
      <c r="C8" s="25"/>
      <c r="D8" s="25"/>
      <c r="E8" s="25"/>
      <c r="F8" s="25"/>
      <c r="G8" s="25"/>
    </row>
    <row r="9" spans="1:8" x14ac:dyDescent="0.3">
      <c r="A9" s="18"/>
      <c r="B9" s="25"/>
      <c r="C9" s="25"/>
      <c r="D9" s="25"/>
      <c r="E9" s="25"/>
      <c r="F9" s="25"/>
      <c r="G9" s="25"/>
    </row>
    <row r="10" spans="1:8" x14ac:dyDescent="0.3">
      <c r="A10" s="18"/>
      <c r="B10" s="25"/>
      <c r="C10" s="25"/>
      <c r="D10" s="25"/>
      <c r="E10" s="25"/>
      <c r="F10" s="25"/>
      <c r="G10" s="25"/>
    </row>
    <row r="11" spans="1:8" x14ac:dyDescent="0.3">
      <c r="A11" s="18"/>
      <c r="B11" s="25"/>
      <c r="C11" s="25"/>
      <c r="D11" s="25"/>
      <c r="E11" s="25"/>
      <c r="F11" s="25"/>
      <c r="G11" s="25"/>
    </row>
    <row r="12" spans="1:8" x14ac:dyDescent="0.3">
      <c r="A12" s="18"/>
      <c r="B12" s="25"/>
      <c r="C12" s="25"/>
      <c r="D12" s="25"/>
      <c r="E12" s="25"/>
      <c r="F12" s="25"/>
      <c r="G12" s="25"/>
    </row>
    <row r="13" spans="1:8" x14ac:dyDescent="0.3">
      <c r="A13" s="18"/>
      <c r="B13" s="25"/>
      <c r="C13" s="25"/>
      <c r="D13" s="25"/>
      <c r="E13" s="25"/>
      <c r="F13" s="25"/>
      <c r="G13" s="25"/>
    </row>
    <row r="14" spans="1:8" x14ac:dyDescent="0.3">
      <c r="A14" s="18"/>
      <c r="B14" s="25"/>
      <c r="C14" s="25"/>
      <c r="D14" s="25"/>
      <c r="E14" s="25"/>
      <c r="F14" s="25"/>
      <c r="G14" s="25"/>
    </row>
    <row r="15" spans="1:8" x14ac:dyDescent="0.3">
      <c r="A15" s="18"/>
      <c r="B15" s="25"/>
      <c r="C15" s="25"/>
      <c r="D15" s="25"/>
      <c r="E15" s="25"/>
      <c r="F15" s="25"/>
      <c r="G15" s="25"/>
    </row>
    <row r="16" spans="1:8" x14ac:dyDescent="0.3">
      <c r="A16" s="18"/>
      <c r="B16" s="25"/>
      <c r="C16" s="25"/>
      <c r="D16" s="25"/>
      <c r="E16" s="25"/>
      <c r="F16" s="25"/>
      <c r="G16" s="25"/>
    </row>
    <row r="17" spans="1:7" x14ac:dyDescent="0.3">
      <c r="A17" s="18"/>
      <c r="B17" s="25"/>
      <c r="C17" s="25"/>
      <c r="D17" s="25"/>
      <c r="E17" s="25"/>
      <c r="F17" s="25"/>
      <c r="G17" s="25"/>
    </row>
    <row r="18" spans="1:7" x14ac:dyDescent="0.3">
      <c r="A18" s="18"/>
      <c r="B18" s="25"/>
      <c r="C18" s="25"/>
      <c r="D18" s="25"/>
      <c r="E18" s="25"/>
      <c r="F18" s="25"/>
      <c r="G18" s="25"/>
    </row>
    <row r="19" spans="1:7" x14ac:dyDescent="0.3">
      <c r="A19" s="18"/>
      <c r="B19" s="25"/>
      <c r="C19" s="25"/>
      <c r="D19" s="25"/>
      <c r="E19" s="25"/>
      <c r="F19" s="25"/>
      <c r="G19" s="25"/>
    </row>
    <row r="20" spans="1:7" x14ac:dyDescent="0.3">
      <c r="A20" s="18"/>
      <c r="B20" s="25"/>
      <c r="C20" s="25"/>
      <c r="D20" s="25"/>
      <c r="E20" s="25"/>
      <c r="F20" s="25"/>
      <c r="G20" s="25"/>
    </row>
    <row r="21" spans="1:7" x14ac:dyDescent="0.3">
      <c r="A21" s="18"/>
      <c r="B21" s="25"/>
      <c r="C21" s="25"/>
      <c r="D21" s="25"/>
      <c r="E21" s="25"/>
      <c r="F21" s="25"/>
      <c r="G21" s="25"/>
    </row>
    <row r="22" spans="1:7" x14ac:dyDescent="0.3">
      <c r="A22" s="18"/>
      <c r="B22" s="25"/>
      <c r="C22" s="25"/>
      <c r="D22" s="25"/>
      <c r="E22" s="25"/>
      <c r="F22" s="25"/>
      <c r="G22" s="25"/>
    </row>
    <row r="23" spans="1:7" x14ac:dyDescent="0.3">
      <c r="A23" s="18"/>
      <c r="B23" s="25"/>
      <c r="C23" s="25"/>
      <c r="D23" s="25"/>
      <c r="E23" s="25"/>
      <c r="F23" s="25"/>
      <c r="G23" s="25"/>
    </row>
    <row r="24" spans="1:7" x14ac:dyDescent="0.3">
      <c r="A24" s="18"/>
      <c r="B24" s="25"/>
      <c r="C24" s="25"/>
      <c r="D24" s="25"/>
      <c r="E24" s="25"/>
      <c r="F24" s="25"/>
      <c r="G24" s="25"/>
    </row>
    <row r="25" spans="1:7" x14ac:dyDescent="0.3">
      <c r="A25" s="18"/>
      <c r="B25" s="25"/>
      <c r="C25" s="25"/>
      <c r="D25" s="25"/>
      <c r="E25" s="25"/>
      <c r="F25" s="25"/>
      <c r="G25" s="25"/>
    </row>
    <row r="26" spans="1:7" x14ac:dyDescent="0.3">
      <c r="A26" s="18"/>
      <c r="B26" s="25"/>
      <c r="C26" s="25"/>
      <c r="D26" s="25"/>
      <c r="E26" s="25"/>
      <c r="F26" s="25"/>
      <c r="G26" s="25"/>
    </row>
    <row r="27" spans="1:7" x14ac:dyDescent="0.3">
      <c r="A27" s="18"/>
      <c r="B27" s="25"/>
      <c r="C27" s="25"/>
      <c r="D27" s="25"/>
      <c r="E27" s="25"/>
      <c r="F27" s="25"/>
      <c r="G27" s="25"/>
    </row>
    <row r="28" spans="1:7" x14ac:dyDescent="0.3">
      <c r="A28" s="18"/>
      <c r="B28" s="25"/>
      <c r="C28" s="25"/>
      <c r="D28" s="25"/>
      <c r="E28" s="25"/>
      <c r="F28" s="25"/>
      <c r="G28" s="25"/>
    </row>
    <row r="29" spans="1:7" x14ac:dyDescent="0.3">
      <c r="A29" s="18"/>
      <c r="B29" s="25"/>
      <c r="C29" s="25"/>
      <c r="D29" s="25"/>
      <c r="E29" s="25"/>
      <c r="F29" s="25"/>
      <c r="G29" s="25"/>
    </row>
    <row r="30" spans="1:7" x14ac:dyDescent="0.3">
      <c r="A30" s="18"/>
      <c r="B30" s="25"/>
      <c r="C30" s="25"/>
      <c r="D30" s="25"/>
      <c r="E30" s="25"/>
      <c r="F30" s="25"/>
      <c r="G30" s="25"/>
    </row>
    <row r="31" spans="1:7" x14ac:dyDescent="0.3">
      <c r="A31" s="18"/>
      <c r="B31" s="25"/>
      <c r="C31" s="25"/>
      <c r="D31" s="25"/>
      <c r="E31" s="25"/>
      <c r="F31" s="25"/>
      <c r="G31" s="25"/>
    </row>
    <row r="32" spans="1:7" x14ac:dyDescent="0.3">
      <c r="A32" s="18"/>
      <c r="B32" s="25"/>
      <c r="C32" s="25"/>
      <c r="D32" s="25"/>
      <c r="E32" s="25"/>
      <c r="F32" s="25"/>
      <c r="G32" s="25"/>
    </row>
    <row r="33" spans="1:7" x14ac:dyDescent="0.3">
      <c r="A33" s="18"/>
      <c r="B33" s="25"/>
      <c r="C33" s="25"/>
      <c r="D33" s="25"/>
      <c r="E33" s="25"/>
      <c r="F33" s="25"/>
      <c r="G33" s="25"/>
    </row>
    <row r="34" spans="1:7" x14ac:dyDescent="0.3">
      <c r="A34" s="18"/>
      <c r="B34" s="25"/>
      <c r="C34" s="25"/>
      <c r="D34" s="25"/>
      <c r="E34" s="25"/>
      <c r="F34" s="25"/>
      <c r="G34" s="25"/>
    </row>
    <row r="35" spans="1:7" x14ac:dyDescent="0.3">
      <c r="A35" s="18"/>
      <c r="B35" s="25"/>
      <c r="C35" s="25"/>
      <c r="D35" s="25"/>
      <c r="E35" s="25"/>
      <c r="F35" s="25"/>
      <c r="G35" s="25"/>
    </row>
    <row r="36" spans="1:7" x14ac:dyDescent="0.3">
      <c r="A36" s="18"/>
      <c r="B36" s="25"/>
      <c r="C36" s="25"/>
      <c r="D36" s="25"/>
      <c r="E36" s="25"/>
      <c r="F36" s="25"/>
      <c r="G36" s="25"/>
    </row>
    <row r="37" spans="1:7" x14ac:dyDescent="0.3">
      <c r="A37" s="18"/>
      <c r="B37" s="25"/>
      <c r="C37" s="25"/>
      <c r="D37" s="25"/>
      <c r="E37" s="25"/>
      <c r="F37" s="25"/>
      <c r="G37" s="25"/>
    </row>
    <row r="38" spans="1:7" x14ac:dyDescent="0.3">
      <c r="A38" s="18"/>
      <c r="B38" s="25"/>
      <c r="C38" s="25"/>
      <c r="D38" s="25"/>
      <c r="E38" s="25"/>
      <c r="F38" s="25"/>
      <c r="G38" s="25"/>
    </row>
    <row r="39" spans="1:7" x14ac:dyDescent="0.3">
      <c r="A39" s="18"/>
      <c r="B39" s="25"/>
      <c r="C39" s="25"/>
      <c r="D39" s="25"/>
      <c r="E39" s="25"/>
      <c r="F39" s="25"/>
      <c r="G39" s="25"/>
    </row>
    <row r="40" spans="1:7" x14ac:dyDescent="0.3">
      <c r="A40" s="18"/>
      <c r="B40" s="25"/>
      <c r="C40" s="25"/>
      <c r="D40" s="25"/>
      <c r="E40" s="25"/>
      <c r="F40" s="25"/>
      <c r="G40" s="25"/>
    </row>
    <row r="41" spans="1:7" x14ac:dyDescent="0.3">
      <c r="A41" s="18"/>
      <c r="B41" s="25"/>
      <c r="C41" s="25"/>
      <c r="D41" s="25"/>
      <c r="E41" s="25"/>
      <c r="F41" s="25"/>
      <c r="G41" s="25"/>
    </row>
    <row r="42" spans="1:7" x14ac:dyDescent="0.3">
      <c r="A42" s="18"/>
      <c r="B42" s="25"/>
      <c r="C42" s="25"/>
      <c r="D42" s="25"/>
      <c r="E42" s="25"/>
      <c r="F42" s="25"/>
      <c r="G42" s="25"/>
    </row>
    <row r="43" spans="1:7" x14ac:dyDescent="0.3">
      <c r="A43" s="18"/>
      <c r="B43" s="25"/>
      <c r="C43" s="25"/>
      <c r="D43" s="25"/>
      <c r="E43" s="25"/>
      <c r="F43" s="25"/>
      <c r="G43" s="25"/>
    </row>
    <row r="44" spans="1:7" x14ac:dyDescent="0.3">
      <c r="A44" s="18"/>
      <c r="B44" s="25"/>
      <c r="C44" s="25"/>
      <c r="D44" s="25"/>
      <c r="E44" s="25"/>
      <c r="F44" s="25"/>
      <c r="G44" s="25"/>
    </row>
    <row r="45" spans="1:7" x14ac:dyDescent="0.3">
      <c r="A45" s="18"/>
      <c r="B45" s="25"/>
      <c r="C45" s="25"/>
      <c r="D45" s="25"/>
      <c r="E45" s="25"/>
      <c r="F45" s="25"/>
      <c r="G45" s="25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5"/>
  <sheetViews>
    <sheetView showGridLines="0" tabSelected="1" zoomScaleNormal="100" workbookViewId="0">
      <selection sqref="A1:H1"/>
    </sheetView>
  </sheetViews>
  <sheetFormatPr defaultColWidth="8.6640625" defaultRowHeight="14.4" x14ac:dyDescent="0.3"/>
  <cols>
    <col min="1" max="1" width="13" customWidth="1"/>
    <col min="2" max="7" width="14" customWidth="1"/>
  </cols>
  <sheetData>
    <row r="1" spans="1:8" ht="21" x14ac:dyDescent="0.4">
      <c r="A1" s="3" t="s">
        <v>64</v>
      </c>
      <c r="B1" s="3"/>
      <c r="C1" s="3"/>
      <c r="D1" s="3"/>
      <c r="E1" s="3"/>
      <c r="F1" s="3"/>
      <c r="G1" s="3"/>
      <c r="H1" s="3"/>
    </row>
    <row r="2" spans="1:8" x14ac:dyDescent="0.3">
      <c r="A2" s="1" t="s">
        <v>65</v>
      </c>
      <c r="B2" s="1"/>
      <c r="C2" s="1"/>
      <c r="D2" s="1"/>
      <c r="E2" s="1"/>
      <c r="F2" s="1"/>
      <c r="G2" s="1"/>
      <c r="H2" s="1"/>
    </row>
    <row r="4" spans="1:8" ht="27.6" x14ac:dyDescent="0.3">
      <c r="A4" s="11" t="s">
        <v>48</v>
      </c>
      <c r="B4" s="11" t="s">
        <v>20</v>
      </c>
      <c r="C4" s="11" t="s">
        <v>23</v>
      </c>
      <c r="D4" s="11" t="s">
        <v>26</v>
      </c>
      <c r="E4" s="11" t="s">
        <v>29</v>
      </c>
      <c r="F4" s="11" t="s">
        <v>31</v>
      </c>
      <c r="G4" s="11" t="s">
        <v>63</v>
      </c>
    </row>
    <row r="5" spans="1:8" x14ac:dyDescent="0.3">
      <c r="A5" s="27">
        <f>IF('Price History'!A5="","",'Price History'!A5)</f>
        <v>46277</v>
      </c>
      <c r="B5" s="28">
        <f>IF('Price History'!A5="","",SUMIFS('Trade Log'!$D$5:$D$50,'Trade Log'!$B$5:$B$50,"VWCE.DE",'Trade Log'!$A$5:$A$50,"&lt;="&amp;'Price History'!A5))</f>
        <v>18</v>
      </c>
      <c r="C5" s="28">
        <f>IF('Price History'!A5="","",SUMIFS('Trade Log'!$D$5:$D$50,'Trade Log'!$B$5:$B$50,"IWVL.L",'Trade Log'!$A$5:$A$50,"&lt;="&amp;'Price History'!A5))</f>
        <v>6.1</v>
      </c>
      <c r="D5" s="28">
        <f>IF('Price History'!A5="","",SUMIFS('Trade Log'!$D$5:$D$50,'Trade Log'!$B$5:$B$50,"EGLN.L",'Trade Log'!$A$5:$A$50,"&lt;="&amp;'Price History'!A5))</f>
        <v>13.49</v>
      </c>
      <c r="E5" s="28">
        <f>IF('Price History'!A5="","",SUMIFS('Trade Log'!$D$5:$D$50,'Trade Log'!$B$5:$B$50,"CMOP.L",'Trade Log'!$A$5:$A$50,"&lt;="&amp;'Price History'!A5))</f>
        <v>21.36</v>
      </c>
      <c r="F5" s="28">
        <f>IF('Price History'!A5="","",SUMIFS('Trade Log'!$D$5:$D$50,'Trade Log'!$B$5:$B$50,"EUNA.DE",'Trade Log'!$A$5:$A$50,"&lt;="&amp;'Price History'!A5))</f>
        <v>1020.41</v>
      </c>
      <c r="G5" s="28">
        <f>IF('Price History'!A5="","",SUMIFS('Trade Log'!$D$5:$D$50,'Trade Log'!$B$5:$B$50,"SXR8.DE",'Trade Log'!$A$5:$A$50,"&lt;="&amp;'Price History'!A5))</f>
        <v>14.04</v>
      </c>
    </row>
    <row r="6" spans="1:8" x14ac:dyDescent="0.3">
      <c r="A6" s="27" t="str">
        <f>IF('Price History'!A6="","",'Price History'!A6)</f>
        <v/>
      </c>
      <c r="B6" s="28" t="str">
        <f>IF('Price History'!A6="","",SUMIFS('Trade Log'!$D$5:$D$50,'Trade Log'!$B$5:$B$50,"VWCE.DE",'Trade Log'!$A$5:$A$50,"&lt;="&amp;'Price History'!A6))</f>
        <v/>
      </c>
      <c r="C6" s="28" t="str">
        <f>IF('Price History'!A6="","",SUMIFS('Trade Log'!$D$5:$D$50,'Trade Log'!$B$5:$B$50,"IWVL.L",'Trade Log'!$A$5:$A$50,"&lt;="&amp;'Price History'!A6))</f>
        <v/>
      </c>
      <c r="D6" s="28" t="str">
        <f>IF('Price History'!A6="","",SUMIFS('Trade Log'!$D$5:$D$50,'Trade Log'!$B$5:$B$50,"EGLN.L",'Trade Log'!$A$5:$A$50,"&lt;="&amp;'Price History'!A6))</f>
        <v/>
      </c>
      <c r="E6" s="28" t="str">
        <f>IF('Price History'!A6="","",SUMIFS('Trade Log'!$D$5:$D$50,'Trade Log'!$B$5:$B$50,"CMOP.L",'Trade Log'!$A$5:$A$50,"&lt;="&amp;'Price History'!A6))</f>
        <v/>
      </c>
      <c r="F6" s="28" t="str">
        <f>IF('Price History'!A6="","",SUMIFS('Trade Log'!$D$5:$D$50,'Trade Log'!$B$5:$B$50,"EUNA.DE",'Trade Log'!$A$5:$A$50,"&lt;="&amp;'Price History'!A6))</f>
        <v/>
      </c>
      <c r="G6" s="28" t="str">
        <f>IF('Price History'!A6="","",SUMIFS('Trade Log'!$D$5:$D$50,'Trade Log'!$B$5:$B$50,"SXR8.DE",'Trade Log'!$A$5:$A$50,"&lt;="&amp;'Price History'!A6))</f>
        <v/>
      </c>
    </row>
    <row r="7" spans="1:8" x14ac:dyDescent="0.3">
      <c r="A7" s="27" t="str">
        <f>IF('Price History'!A7="","",'Price History'!A7)</f>
        <v/>
      </c>
      <c r="B7" s="28" t="str">
        <f>IF('Price History'!A7="","",SUMIFS('Trade Log'!$D$5:$D$50,'Trade Log'!$B$5:$B$50,"VWCE.DE",'Trade Log'!$A$5:$A$50,"&lt;="&amp;'Price History'!A7))</f>
        <v/>
      </c>
      <c r="C7" s="28" t="str">
        <f>IF('Price History'!A7="","",SUMIFS('Trade Log'!$D$5:$D$50,'Trade Log'!$B$5:$B$50,"IWVL.L",'Trade Log'!$A$5:$A$50,"&lt;="&amp;'Price History'!A7))</f>
        <v/>
      </c>
      <c r="D7" s="28" t="str">
        <f>IF('Price History'!A7="","",SUMIFS('Trade Log'!$D$5:$D$50,'Trade Log'!$B$5:$B$50,"EGLN.L",'Trade Log'!$A$5:$A$50,"&lt;="&amp;'Price History'!A7))</f>
        <v/>
      </c>
      <c r="E7" s="28" t="str">
        <f>IF('Price History'!A7="","",SUMIFS('Trade Log'!$D$5:$D$50,'Trade Log'!$B$5:$B$50,"CMOP.L",'Trade Log'!$A$5:$A$50,"&lt;="&amp;'Price History'!A7))</f>
        <v/>
      </c>
      <c r="F7" s="28" t="str">
        <f>IF('Price History'!A7="","",SUMIFS('Trade Log'!$D$5:$D$50,'Trade Log'!$B$5:$B$50,"EUNA.DE",'Trade Log'!$A$5:$A$50,"&lt;="&amp;'Price History'!A7))</f>
        <v/>
      </c>
      <c r="G7" s="28" t="str">
        <f>IF('Price History'!A7="","",SUMIFS('Trade Log'!$D$5:$D$50,'Trade Log'!$B$5:$B$50,"SXR8.DE",'Trade Log'!$A$5:$A$50,"&lt;="&amp;'Price History'!A7))</f>
        <v/>
      </c>
    </row>
    <row r="8" spans="1:8" x14ac:dyDescent="0.3">
      <c r="A8" s="27" t="str">
        <f>IF('Price History'!A8="","",'Price History'!A8)</f>
        <v/>
      </c>
      <c r="B8" s="28" t="str">
        <f>IF('Price History'!A8="","",SUMIFS('Trade Log'!$D$5:$D$50,'Trade Log'!$B$5:$B$50,"VWCE.DE",'Trade Log'!$A$5:$A$50,"&lt;="&amp;'Price History'!A8))</f>
        <v/>
      </c>
      <c r="C8" s="28" t="str">
        <f>IF('Price History'!A8="","",SUMIFS('Trade Log'!$D$5:$D$50,'Trade Log'!$B$5:$B$50,"IWVL.L",'Trade Log'!$A$5:$A$50,"&lt;="&amp;'Price History'!A8))</f>
        <v/>
      </c>
      <c r="D8" s="28" t="str">
        <f>IF('Price History'!A8="","",SUMIFS('Trade Log'!$D$5:$D$50,'Trade Log'!$B$5:$B$50,"EGLN.L",'Trade Log'!$A$5:$A$50,"&lt;="&amp;'Price History'!A8))</f>
        <v/>
      </c>
      <c r="E8" s="28" t="str">
        <f>IF('Price History'!A8="","",SUMIFS('Trade Log'!$D$5:$D$50,'Trade Log'!$B$5:$B$50,"CMOP.L",'Trade Log'!$A$5:$A$50,"&lt;="&amp;'Price History'!A8))</f>
        <v/>
      </c>
      <c r="F8" s="28" t="str">
        <f>IF('Price History'!A8="","",SUMIFS('Trade Log'!$D$5:$D$50,'Trade Log'!$B$5:$B$50,"EUNA.DE",'Trade Log'!$A$5:$A$50,"&lt;="&amp;'Price History'!A8))</f>
        <v/>
      </c>
      <c r="G8" s="28" t="str">
        <f>IF('Price History'!A8="","",SUMIFS('Trade Log'!$D$5:$D$50,'Trade Log'!$B$5:$B$50,"SXR8.DE",'Trade Log'!$A$5:$A$50,"&lt;="&amp;'Price History'!A8))</f>
        <v/>
      </c>
    </row>
    <row r="9" spans="1:8" x14ac:dyDescent="0.3">
      <c r="A9" s="27" t="str">
        <f>IF('Price History'!A9="","",'Price History'!A9)</f>
        <v/>
      </c>
      <c r="B9" s="28" t="str">
        <f>IF('Price History'!A9="","",SUMIFS('Trade Log'!$D$5:$D$50,'Trade Log'!$B$5:$B$50,"VWCE.DE",'Trade Log'!$A$5:$A$50,"&lt;="&amp;'Price History'!A9))</f>
        <v/>
      </c>
      <c r="C9" s="28" t="str">
        <f>IF('Price History'!A9="","",SUMIFS('Trade Log'!$D$5:$D$50,'Trade Log'!$B$5:$B$50,"IWVL.L",'Trade Log'!$A$5:$A$50,"&lt;="&amp;'Price History'!A9))</f>
        <v/>
      </c>
      <c r="D9" s="28" t="str">
        <f>IF('Price History'!A9="","",SUMIFS('Trade Log'!$D$5:$D$50,'Trade Log'!$B$5:$B$50,"EGLN.L",'Trade Log'!$A$5:$A$50,"&lt;="&amp;'Price History'!A9))</f>
        <v/>
      </c>
      <c r="E9" s="28" t="str">
        <f>IF('Price History'!A9="","",SUMIFS('Trade Log'!$D$5:$D$50,'Trade Log'!$B$5:$B$50,"CMOP.L",'Trade Log'!$A$5:$A$50,"&lt;="&amp;'Price History'!A9))</f>
        <v/>
      </c>
      <c r="F9" s="28" t="str">
        <f>IF('Price History'!A9="","",SUMIFS('Trade Log'!$D$5:$D$50,'Trade Log'!$B$5:$B$50,"EUNA.DE",'Trade Log'!$A$5:$A$50,"&lt;="&amp;'Price History'!A9))</f>
        <v/>
      </c>
      <c r="G9" s="28" t="str">
        <f>IF('Price History'!A9="","",SUMIFS('Trade Log'!$D$5:$D$50,'Trade Log'!$B$5:$B$50,"SXR8.DE",'Trade Log'!$A$5:$A$50,"&lt;="&amp;'Price History'!A9))</f>
        <v/>
      </c>
    </row>
    <row r="10" spans="1:8" x14ac:dyDescent="0.3">
      <c r="A10" s="27" t="str">
        <f>IF('Price History'!A10="","",'Price History'!A10)</f>
        <v/>
      </c>
      <c r="B10" s="28" t="str">
        <f>IF('Price History'!A10="","",SUMIFS('Trade Log'!$D$5:$D$50,'Trade Log'!$B$5:$B$50,"VWCE.DE",'Trade Log'!$A$5:$A$50,"&lt;="&amp;'Price History'!A10))</f>
        <v/>
      </c>
      <c r="C10" s="28" t="str">
        <f>IF('Price History'!A10="","",SUMIFS('Trade Log'!$D$5:$D$50,'Trade Log'!$B$5:$B$50,"IWVL.L",'Trade Log'!$A$5:$A$50,"&lt;="&amp;'Price History'!A10))</f>
        <v/>
      </c>
      <c r="D10" s="28" t="str">
        <f>IF('Price History'!A10="","",SUMIFS('Trade Log'!$D$5:$D$50,'Trade Log'!$B$5:$B$50,"EGLN.L",'Trade Log'!$A$5:$A$50,"&lt;="&amp;'Price History'!A10))</f>
        <v/>
      </c>
      <c r="E10" s="28" t="str">
        <f>IF('Price History'!A10="","",SUMIFS('Trade Log'!$D$5:$D$50,'Trade Log'!$B$5:$B$50,"CMOP.L",'Trade Log'!$A$5:$A$50,"&lt;="&amp;'Price History'!A10))</f>
        <v/>
      </c>
      <c r="F10" s="28" t="str">
        <f>IF('Price History'!A10="","",SUMIFS('Trade Log'!$D$5:$D$50,'Trade Log'!$B$5:$B$50,"EUNA.DE",'Trade Log'!$A$5:$A$50,"&lt;="&amp;'Price History'!A10))</f>
        <v/>
      </c>
      <c r="G10" s="28" t="str">
        <f>IF('Price History'!A10="","",SUMIFS('Trade Log'!$D$5:$D$50,'Trade Log'!$B$5:$B$50,"SXR8.DE",'Trade Log'!$A$5:$A$50,"&lt;="&amp;'Price History'!A10))</f>
        <v/>
      </c>
    </row>
    <row r="11" spans="1:8" x14ac:dyDescent="0.3">
      <c r="A11" s="27" t="str">
        <f>IF('Price History'!A11="","",'Price History'!A11)</f>
        <v/>
      </c>
      <c r="B11" s="28" t="str">
        <f>IF('Price History'!A11="","",SUMIFS('Trade Log'!$D$5:$D$50,'Trade Log'!$B$5:$B$50,"VWCE.DE",'Trade Log'!$A$5:$A$50,"&lt;="&amp;'Price History'!A11))</f>
        <v/>
      </c>
      <c r="C11" s="28" t="str">
        <f>IF('Price History'!A11="","",SUMIFS('Trade Log'!$D$5:$D$50,'Trade Log'!$B$5:$B$50,"IWVL.L",'Trade Log'!$A$5:$A$50,"&lt;="&amp;'Price History'!A11))</f>
        <v/>
      </c>
      <c r="D11" s="28" t="str">
        <f>IF('Price History'!A11="","",SUMIFS('Trade Log'!$D$5:$D$50,'Trade Log'!$B$5:$B$50,"EGLN.L",'Trade Log'!$A$5:$A$50,"&lt;="&amp;'Price History'!A11))</f>
        <v/>
      </c>
      <c r="E11" s="28" t="str">
        <f>IF('Price History'!A11="","",SUMIFS('Trade Log'!$D$5:$D$50,'Trade Log'!$B$5:$B$50,"CMOP.L",'Trade Log'!$A$5:$A$50,"&lt;="&amp;'Price History'!A11))</f>
        <v/>
      </c>
      <c r="F11" s="28" t="str">
        <f>IF('Price History'!A11="","",SUMIFS('Trade Log'!$D$5:$D$50,'Trade Log'!$B$5:$B$50,"EUNA.DE",'Trade Log'!$A$5:$A$50,"&lt;="&amp;'Price History'!A11))</f>
        <v/>
      </c>
      <c r="G11" s="28" t="str">
        <f>IF('Price History'!A11="","",SUMIFS('Trade Log'!$D$5:$D$50,'Trade Log'!$B$5:$B$50,"SXR8.DE",'Trade Log'!$A$5:$A$50,"&lt;="&amp;'Price History'!A11))</f>
        <v/>
      </c>
    </row>
    <row r="12" spans="1:8" x14ac:dyDescent="0.3">
      <c r="A12" s="27" t="str">
        <f>IF('Price History'!A12="","",'Price History'!A12)</f>
        <v/>
      </c>
      <c r="B12" s="28" t="str">
        <f>IF('Price History'!A12="","",SUMIFS('Trade Log'!$D$5:$D$50,'Trade Log'!$B$5:$B$50,"VWCE.DE",'Trade Log'!$A$5:$A$50,"&lt;="&amp;'Price History'!A12))</f>
        <v/>
      </c>
      <c r="C12" s="28" t="str">
        <f>IF('Price History'!A12="","",SUMIFS('Trade Log'!$D$5:$D$50,'Trade Log'!$B$5:$B$50,"IWVL.L",'Trade Log'!$A$5:$A$50,"&lt;="&amp;'Price History'!A12))</f>
        <v/>
      </c>
      <c r="D12" s="28" t="str">
        <f>IF('Price History'!A12="","",SUMIFS('Trade Log'!$D$5:$D$50,'Trade Log'!$B$5:$B$50,"EGLN.L",'Trade Log'!$A$5:$A$50,"&lt;="&amp;'Price History'!A12))</f>
        <v/>
      </c>
      <c r="E12" s="28" t="str">
        <f>IF('Price History'!A12="","",SUMIFS('Trade Log'!$D$5:$D$50,'Trade Log'!$B$5:$B$50,"CMOP.L",'Trade Log'!$A$5:$A$50,"&lt;="&amp;'Price History'!A12))</f>
        <v/>
      </c>
      <c r="F12" s="28" t="str">
        <f>IF('Price History'!A12="","",SUMIFS('Trade Log'!$D$5:$D$50,'Trade Log'!$B$5:$B$50,"EUNA.DE",'Trade Log'!$A$5:$A$50,"&lt;="&amp;'Price History'!A12))</f>
        <v/>
      </c>
      <c r="G12" s="28" t="str">
        <f>IF('Price History'!A12="","",SUMIFS('Trade Log'!$D$5:$D$50,'Trade Log'!$B$5:$B$50,"SXR8.DE",'Trade Log'!$A$5:$A$50,"&lt;="&amp;'Price History'!A12))</f>
        <v/>
      </c>
    </row>
    <row r="13" spans="1:8" x14ac:dyDescent="0.3">
      <c r="A13" s="27" t="str">
        <f>IF('Price History'!A13="","",'Price History'!A13)</f>
        <v/>
      </c>
      <c r="B13" s="28" t="str">
        <f>IF('Price History'!A13="","",SUMIFS('Trade Log'!$D$5:$D$50,'Trade Log'!$B$5:$B$50,"VWCE.DE",'Trade Log'!$A$5:$A$50,"&lt;="&amp;'Price History'!A13))</f>
        <v/>
      </c>
      <c r="C13" s="28" t="str">
        <f>IF('Price History'!A13="","",SUMIFS('Trade Log'!$D$5:$D$50,'Trade Log'!$B$5:$B$50,"IWVL.L",'Trade Log'!$A$5:$A$50,"&lt;="&amp;'Price History'!A13))</f>
        <v/>
      </c>
      <c r="D13" s="28" t="str">
        <f>IF('Price History'!A13="","",SUMIFS('Trade Log'!$D$5:$D$50,'Trade Log'!$B$5:$B$50,"EGLN.L",'Trade Log'!$A$5:$A$50,"&lt;="&amp;'Price History'!A13))</f>
        <v/>
      </c>
      <c r="E13" s="28" t="str">
        <f>IF('Price History'!A13="","",SUMIFS('Trade Log'!$D$5:$D$50,'Trade Log'!$B$5:$B$50,"CMOP.L",'Trade Log'!$A$5:$A$50,"&lt;="&amp;'Price History'!A13))</f>
        <v/>
      </c>
      <c r="F13" s="28" t="str">
        <f>IF('Price History'!A13="","",SUMIFS('Trade Log'!$D$5:$D$50,'Trade Log'!$B$5:$B$50,"EUNA.DE",'Trade Log'!$A$5:$A$50,"&lt;="&amp;'Price History'!A13))</f>
        <v/>
      </c>
      <c r="G13" s="28" t="str">
        <f>IF('Price History'!A13="","",SUMIFS('Trade Log'!$D$5:$D$50,'Trade Log'!$B$5:$B$50,"SXR8.DE",'Trade Log'!$A$5:$A$50,"&lt;="&amp;'Price History'!A13))</f>
        <v/>
      </c>
    </row>
    <row r="14" spans="1:8" x14ac:dyDescent="0.3">
      <c r="A14" s="27" t="str">
        <f>IF('Price History'!A14="","",'Price History'!A14)</f>
        <v/>
      </c>
      <c r="B14" s="28" t="str">
        <f>IF('Price History'!A14="","",SUMIFS('Trade Log'!$D$5:$D$50,'Trade Log'!$B$5:$B$50,"VWCE.DE",'Trade Log'!$A$5:$A$50,"&lt;="&amp;'Price History'!A14))</f>
        <v/>
      </c>
      <c r="C14" s="28" t="str">
        <f>IF('Price History'!A14="","",SUMIFS('Trade Log'!$D$5:$D$50,'Trade Log'!$B$5:$B$50,"IWVL.L",'Trade Log'!$A$5:$A$50,"&lt;="&amp;'Price History'!A14))</f>
        <v/>
      </c>
      <c r="D14" s="28" t="str">
        <f>IF('Price History'!A14="","",SUMIFS('Trade Log'!$D$5:$D$50,'Trade Log'!$B$5:$B$50,"EGLN.L",'Trade Log'!$A$5:$A$50,"&lt;="&amp;'Price History'!A14))</f>
        <v/>
      </c>
      <c r="E14" s="28" t="str">
        <f>IF('Price History'!A14="","",SUMIFS('Trade Log'!$D$5:$D$50,'Trade Log'!$B$5:$B$50,"CMOP.L",'Trade Log'!$A$5:$A$50,"&lt;="&amp;'Price History'!A14))</f>
        <v/>
      </c>
      <c r="F14" s="28" t="str">
        <f>IF('Price History'!A14="","",SUMIFS('Trade Log'!$D$5:$D$50,'Trade Log'!$B$5:$B$50,"EUNA.DE",'Trade Log'!$A$5:$A$50,"&lt;="&amp;'Price History'!A14))</f>
        <v/>
      </c>
      <c r="G14" s="28" t="str">
        <f>IF('Price History'!A14="","",SUMIFS('Trade Log'!$D$5:$D$50,'Trade Log'!$B$5:$B$50,"SXR8.DE",'Trade Log'!$A$5:$A$50,"&lt;="&amp;'Price History'!A14))</f>
        <v/>
      </c>
    </row>
    <row r="15" spans="1:8" x14ac:dyDescent="0.3">
      <c r="A15" s="27" t="str">
        <f>IF('Price History'!A15="","",'Price History'!A15)</f>
        <v/>
      </c>
      <c r="B15" s="28" t="str">
        <f>IF('Price History'!A15="","",SUMIFS('Trade Log'!$D$5:$D$50,'Trade Log'!$B$5:$B$50,"VWCE.DE",'Trade Log'!$A$5:$A$50,"&lt;="&amp;'Price History'!A15))</f>
        <v/>
      </c>
      <c r="C15" s="28" t="str">
        <f>IF('Price History'!A15="","",SUMIFS('Trade Log'!$D$5:$D$50,'Trade Log'!$B$5:$B$50,"IWVL.L",'Trade Log'!$A$5:$A$50,"&lt;="&amp;'Price History'!A15))</f>
        <v/>
      </c>
      <c r="D15" s="28" t="str">
        <f>IF('Price History'!A15="","",SUMIFS('Trade Log'!$D$5:$D$50,'Trade Log'!$B$5:$B$50,"EGLN.L",'Trade Log'!$A$5:$A$50,"&lt;="&amp;'Price History'!A15))</f>
        <v/>
      </c>
      <c r="E15" s="28" t="str">
        <f>IF('Price History'!A15="","",SUMIFS('Trade Log'!$D$5:$D$50,'Trade Log'!$B$5:$B$50,"CMOP.L",'Trade Log'!$A$5:$A$50,"&lt;="&amp;'Price History'!A15))</f>
        <v/>
      </c>
      <c r="F15" s="28" t="str">
        <f>IF('Price History'!A15="","",SUMIFS('Trade Log'!$D$5:$D$50,'Trade Log'!$B$5:$B$50,"EUNA.DE",'Trade Log'!$A$5:$A$50,"&lt;="&amp;'Price History'!A15))</f>
        <v/>
      </c>
      <c r="G15" s="28" t="str">
        <f>IF('Price History'!A15="","",SUMIFS('Trade Log'!$D$5:$D$50,'Trade Log'!$B$5:$B$50,"SXR8.DE",'Trade Log'!$A$5:$A$50,"&lt;="&amp;'Price History'!A15))</f>
        <v/>
      </c>
    </row>
    <row r="16" spans="1:8" x14ac:dyDescent="0.3">
      <c r="A16" s="27" t="str">
        <f>IF('Price History'!A16="","",'Price History'!A16)</f>
        <v/>
      </c>
      <c r="B16" s="28" t="str">
        <f>IF('Price History'!A16="","",SUMIFS('Trade Log'!$D$5:$D$50,'Trade Log'!$B$5:$B$50,"VWCE.DE",'Trade Log'!$A$5:$A$50,"&lt;="&amp;'Price History'!A16))</f>
        <v/>
      </c>
      <c r="C16" s="28" t="str">
        <f>IF('Price History'!A16="","",SUMIFS('Trade Log'!$D$5:$D$50,'Trade Log'!$B$5:$B$50,"IWVL.L",'Trade Log'!$A$5:$A$50,"&lt;="&amp;'Price History'!A16))</f>
        <v/>
      </c>
      <c r="D16" s="28" t="str">
        <f>IF('Price History'!A16="","",SUMIFS('Trade Log'!$D$5:$D$50,'Trade Log'!$B$5:$B$50,"EGLN.L",'Trade Log'!$A$5:$A$50,"&lt;="&amp;'Price History'!A16))</f>
        <v/>
      </c>
      <c r="E16" s="28" t="str">
        <f>IF('Price History'!A16="","",SUMIFS('Trade Log'!$D$5:$D$50,'Trade Log'!$B$5:$B$50,"CMOP.L",'Trade Log'!$A$5:$A$50,"&lt;="&amp;'Price History'!A16))</f>
        <v/>
      </c>
      <c r="F16" s="28" t="str">
        <f>IF('Price History'!A16="","",SUMIFS('Trade Log'!$D$5:$D$50,'Trade Log'!$B$5:$B$50,"EUNA.DE",'Trade Log'!$A$5:$A$50,"&lt;="&amp;'Price History'!A16))</f>
        <v/>
      </c>
      <c r="G16" s="28" t="str">
        <f>IF('Price History'!A16="","",SUMIFS('Trade Log'!$D$5:$D$50,'Trade Log'!$B$5:$B$50,"SXR8.DE",'Trade Log'!$A$5:$A$50,"&lt;="&amp;'Price History'!A16))</f>
        <v/>
      </c>
    </row>
    <row r="17" spans="1:7" x14ac:dyDescent="0.3">
      <c r="A17" s="27" t="str">
        <f>IF('Price History'!A17="","",'Price History'!A17)</f>
        <v/>
      </c>
      <c r="B17" s="28" t="str">
        <f>IF('Price History'!A17="","",SUMIFS('Trade Log'!$D$5:$D$50,'Trade Log'!$B$5:$B$50,"VWCE.DE",'Trade Log'!$A$5:$A$50,"&lt;="&amp;'Price History'!A17))</f>
        <v/>
      </c>
      <c r="C17" s="28" t="str">
        <f>IF('Price History'!A17="","",SUMIFS('Trade Log'!$D$5:$D$50,'Trade Log'!$B$5:$B$50,"IWVL.L",'Trade Log'!$A$5:$A$50,"&lt;="&amp;'Price History'!A17))</f>
        <v/>
      </c>
      <c r="D17" s="28" t="str">
        <f>IF('Price History'!A17="","",SUMIFS('Trade Log'!$D$5:$D$50,'Trade Log'!$B$5:$B$50,"EGLN.L",'Trade Log'!$A$5:$A$50,"&lt;="&amp;'Price History'!A17))</f>
        <v/>
      </c>
      <c r="E17" s="28" t="str">
        <f>IF('Price History'!A17="","",SUMIFS('Trade Log'!$D$5:$D$50,'Trade Log'!$B$5:$B$50,"CMOP.L",'Trade Log'!$A$5:$A$50,"&lt;="&amp;'Price History'!A17))</f>
        <v/>
      </c>
      <c r="F17" s="28" t="str">
        <f>IF('Price History'!A17="","",SUMIFS('Trade Log'!$D$5:$D$50,'Trade Log'!$B$5:$B$50,"EUNA.DE",'Trade Log'!$A$5:$A$50,"&lt;="&amp;'Price History'!A17))</f>
        <v/>
      </c>
      <c r="G17" s="28" t="str">
        <f>IF('Price History'!A17="","",SUMIFS('Trade Log'!$D$5:$D$50,'Trade Log'!$B$5:$B$50,"SXR8.DE",'Trade Log'!$A$5:$A$50,"&lt;="&amp;'Price History'!A17))</f>
        <v/>
      </c>
    </row>
    <row r="18" spans="1:7" x14ac:dyDescent="0.3">
      <c r="A18" s="27" t="str">
        <f>IF('Price History'!A18="","",'Price History'!A18)</f>
        <v/>
      </c>
      <c r="B18" s="28" t="str">
        <f>IF('Price History'!A18="","",SUMIFS('Trade Log'!$D$5:$D$50,'Trade Log'!$B$5:$B$50,"VWCE.DE",'Trade Log'!$A$5:$A$50,"&lt;="&amp;'Price History'!A18))</f>
        <v/>
      </c>
      <c r="C18" s="28" t="str">
        <f>IF('Price History'!A18="","",SUMIFS('Trade Log'!$D$5:$D$50,'Trade Log'!$B$5:$B$50,"IWVL.L",'Trade Log'!$A$5:$A$50,"&lt;="&amp;'Price History'!A18))</f>
        <v/>
      </c>
      <c r="D18" s="28" t="str">
        <f>IF('Price History'!A18="","",SUMIFS('Trade Log'!$D$5:$D$50,'Trade Log'!$B$5:$B$50,"EGLN.L",'Trade Log'!$A$5:$A$50,"&lt;="&amp;'Price History'!A18))</f>
        <v/>
      </c>
      <c r="E18" s="28" t="str">
        <f>IF('Price History'!A18="","",SUMIFS('Trade Log'!$D$5:$D$50,'Trade Log'!$B$5:$B$50,"CMOP.L",'Trade Log'!$A$5:$A$50,"&lt;="&amp;'Price History'!A18))</f>
        <v/>
      </c>
      <c r="F18" s="28" t="str">
        <f>IF('Price History'!A18="","",SUMIFS('Trade Log'!$D$5:$D$50,'Trade Log'!$B$5:$B$50,"EUNA.DE",'Trade Log'!$A$5:$A$50,"&lt;="&amp;'Price History'!A18))</f>
        <v/>
      </c>
      <c r="G18" s="28" t="str">
        <f>IF('Price History'!A18="","",SUMIFS('Trade Log'!$D$5:$D$50,'Trade Log'!$B$5:$B$50,"SXR8.DE",'Trade Log'!$A$5:$A$50,"&lt;="&amp;'Price History'!A18))</f>
        <v/>
      </c>
    </row>
    <row r="19" spans="1:7" x14ac:dyDescent="0.3">
      <c r="A19" s="27" t="str">
        <f>IF('Price History'!A19="","",'Price History'!A19)</f>
        <v/>
      </c>
      <c r="B19" s="28" t="str">
        <f>IF('Price History'!A19="","",SUMIFS('Trade Log'!$D$5:$D$50,'Trade Log'!$B$5:$B$50,"VWCE.DE",'Trade Log'!$A$5:$A$50,"&lt;="&amp;'Price History'!A19))</f>
        <v/>
      </c>
      <c r="C19" s="28" t="str">
        <f>IF('Price History'!A19="","",SUMIFS('Trade Log'!$D$5:$D$50,'Trade Log'!$B$5:$B$50,"IWVL.L",'Trade Log'!$A$5:$A$50,"&lt;="&amp;'Price History'!A19))</f>
        <v/>
      </c>
      <c r="D19" s="28" t="str">
        <f>IF('Price History'!A19="","",SUMIFS('Trade Log'!$D$5:$D$50,'Trade Log'!$B$5:$B$50,"EGLN.L",'Trade Log'!$A$5:$A$50,"&lt;="&amp;'Price History'!A19))</f>
        <v/>
      </c>
      <c r="E19" s="28" t="str">
        <f>IF('Price History'!A19="","",SUMIFS('Trade Log'!$D$5:$D$50,'Trade Log'!$B$5:$B$50,"CMOP.L",'Trade Log'!$A$5:$A$50,"&lt;="&amp;'Price History'!A19))</f>
        <v/>
      </c>
      <c r="F19" s="28" t="str">
        <f>IF('Price History'!A19="","",SUMIFS('Trade Log'!$D$5:$D$50,'Trade Log'!$B$5:$B$50,"EUNA.DE",'Trade Log'!$A$5:$A$50,"&lt;="&amp;'Price History'!A19))</f>
        <v/>
      </c>
      <c r="G19" s="28" t="str">
        <f>IF('Price History'!A19="","",SUMIFS('Trade Log'!$D$5:$D$50,'Trade Log'!$B$5:$B$50,"SXR8.DE",'Trade Log'!$A$5:$A$50,"&lt;="&amp;'Price History'!A19))</f>
        <v/>
      </c>
    </row>
    <row r="20" spans="1:7" x14ac:dyDescent="0.3">
      <c r="A20" s="27" t="str">
        <f>IF('Price History'!A20="","",'Price History'!A20)</f>
        <v/>
      </c>
      <c r="B20" s="28" t="str">
        <f>IF('Price History'!A20="","",SUMIFS('Trade Log'!$D$5:$D$50,'Trade Log'!$B$5:$B$50,"VWCE.DE",'Trade Log'!$A$5:$A$50,"&lt;="&amp;'Price History'!A20))</f>
        <v/>
      </c>
      <c r="C20" s="28" t="str">
        <f>IF('Price History'!A20="","",SUMIFS('Trade Log'!$D$5:$D$50,'Trade Log'!$B$5:$B$50,"IWVL.L",'Trade Log'!$A$5:$A$50,"&lt;="&amp;'Price History'!A20))</f>
        <v/>
      </c>
      <c r="D20" s="28" t="str">
        <f>IF('Price History'!A20="","",SUMIFS('Trade Log'!$D$5:$D$50,'Trade Log'!$B$5:$B$50,"EGLN.L",'Trade Log'!$A$5:$A$50,"&lt;="&amp;'Price History'!A20))</f>
        <v/>
      </c>
      <c r="E20" s="28" t="str">
        <f>IF('Price History'!A20="","",SUMIFS('Trade Log'!$D$5:$D$50,'Trade Log'!$B$5:$B$50,"CMOP.L",'Trade Log'!$A$5:$A$50,"&lt;="&amp;'Price History'!A20))</f>
        <v/>
      </c>
      <c r="F20" s="28" t="str">
        <f>IF('Price History'!A20="","",SUMIFS('Trade Log'!$D$5:$D$50,'Trade Log'!$B$5:$B$50,"EUNA.DE",'Trade Log'!$A$5:$A$50,"&lt;="&amp;'Price History'!A20))</f>
        <v/>
      </c>
      <c r="G20" s="28" t="str">
        <f>IF('Price History'!A20="","",SUMIFS('Trade Log'!$D$5:$D$50,'Trade Log'!$B$5:$B$50,"SXR8.DE",'Trade Log'!$A$5:$A$50,"&lt;="&amp;'Price History'!A20))</f>
        <v/>
      </c>
    </row>
    <row r="21" spans="1:7" x14ac:dyDescent="0.3">
      <c r="A21" s="27" t="str">
        <f>IF('Price History'!A21="","",'Price History'!A21)</f>
        <v/>
      </c>
      <c r="B21" s="28" t="str">
        <f>IF('Price History'!A21="","",SUMIFS('Trade Log'!$D$5:$D$50,'Trade Log'!$B$5:$B$50,"VWCE.DE",'Trade Log'!$A$5:$A$50,"&lt;="&amp;'Price History'!A21))</f>
        <v/>
      </c>
      <c r="C21" s="28" t="str">
        <f>IF('Price History'!A21="","",SUMIFS('Trade Log'!$D$5:$D$50,'Trade Log'!$B$5:$B$50,"IWVL.L",'Trade Log'!$A$5:$A$50,"&lt;="&amp;'Price History'!A21))</f>
        <v/>
      </c>
      <c r="D21" s="28" t="str">
        <f>IF('Price History'!A21="","",SUMIFS('Trade Log'!$D$5:$D$50,'Trade Log'!$B$5:$B$50,"EGLN.L",'Trade Log'!$A$5:$A$50,"&lt;="&amp;'Price History'!A21))</f>
        <v/>
      </c>
      <c r="E21" s="28" t="str">
        <f>IF('Price History'!A21="","",SUMIFS('Trade Log'!$D$5:$D$50,'Trade Log'!$B$5:$B$50,"CMOP.L",'Trade Log'!$A$5:$A$50,"&lt;="&amp;'Price History'!A21))</f>
        <v/>
      </c>
      <c r="F21" s="28" t="str">
        <f>IF('Price History'!A21="","",SUMIFS('Trade Log'!$D$5:$D$50,'Trade Log'!$B$5:$B$50,"EUNA.DE",'Trade Log'!$A$5:$A$50,"&lt;="&amp;'Price History'!A21))</f>
        <v/>
      </c>
      <c r="G21" s="28" t="str">
        <f>IF('Price History'!A21="","",SUMIFS('Trade Log'!$D$5:$D$50,'Trade Log'!$B$5:$B$50,"SXR8.DE",'Trade Log'!$A$5:$A$50,"&lt;="&amp;'Price History'!A21))</f>
        <v/>
      </c>
    </row>
    <row r="22" spans="1:7" x14ac:dyDescent="0.3">
      <c r="A22" s="27" t="str">
        <f>IF('Price History'!A22="","",'Price History'!A22)</f>
        <v/>
      </c>
      <c r="B22" s="28" t="str">
        <f>IF('Price History'!A22="","",SUMIFS('Trade Log'!$D$5:$D$50,'Trade Log'!$B$5:$B$50,"VWCE.DE",'Trade Log'!$A$5:$A$50,"&lt;="&amp;'Price History'!A22))</f>
        <v/>
      </c>
      <c r="C22" s="28" t="str">
        <f>IF('Price History'!A22="","",SUMIFS('Trade Log'!$D$5:$D$50,'Trade Log'!$B$5:$B$50,"IWVL.L",'Trade Log'!$A$5:$A$50,"&lt;="&amp;'Price History'!A22))</f>
        <v/>
      </c>
      <c r="D22" s="28" t="str">
        <f>IF('Price History'!A22="","",SUMIFS('Trade Log'!$D$5:$D$50,'Trade Log'!$B$5:$B$50,"EGLN.L",'Trade Log'!$A$5:$A$50,"&lt;="&amp;'Price History'!A22))</f>
        <v/>
      </c>
      <c r="E22" s="28" t="str">
        <f>IF('Price History'!A22="","",SUMIFS('Trade Log'!$D$5:$D$50,'Trade Log'!$B$5:$B$50,"CMOP.L",'Trade Log'!$A$5:$A$50,"&lt;="&amp;'Price History'!A22))</f>
        <v/>
      </c>
      <c r="F22" s="28" t="str">
        <f>IF('Price History'!A22="","",SUMIFS('Trade Log'!$D$5:$D$50,'Trade Log'!$B$5:$B$50,"EUNA.DE",'Trade Log'!$A$5:$A$50,"&lt;="&amp;'Price History'!A22))</f>
        <v/>
      </c>
      <c r="G22" s="28" t="str">
        <f>IF('Price History'!A22="","",SUMIFS('Trade Log'!$D$5:$D$50,'Trade Log'!$B$5:$B$50,"SXR8.DE",'Trade Log'!$A$5:$A$50,"&lt;="&amp;'Price History'!A22))</f>
        <v/>
      </c>
    </row>
    <row r="23" spans="1:7" x14ac:dyDescent="0.3">
      <c r="A23" s="27" t="str">
        <f>IF('Price History'!A23="","",'Price History'!A23)</f>
        <v/>
      </c>
      <c r="B23" s="28" t="str">
        <f>IF('Price History'!A23="","",SUMIFS('Trade Log'!$D$5:$D$50,'Trade Log'!$B$5:$B$50,"VWCE.DE",'Trade Log'!$A$5:$A$50,"&lt;="&amp;'Price History'!A23))</f>
        <v/>
      </c>
      <c r="C23" s="28" t="str">
        <f>IF('Price History'!A23="","",SUMIFS('Trade Log'!$D$5:$D$50,'Trade Log'!$B$5:$B$50,"IWVL.L",'Trade Log'!$A$5:$A$50,"&lt;="&amp;'Price History'!A23))</f>
        <v/>
      </c>
      <c r="D23" s="28" t="str">
        <f>IF('Price History'!A23="","",SUMIFS('Trade Log'!$D$5:$D$50,'Trade Log'!$B$5:$B$50,"EGLN.L",'Trade Log'!$A$5:$A$50,"&lt;="&amp;'Price History'!A23))</f>
        <v/>
      </c>
      <c r="E23" s="28" t="str">
        <f>IF('Price History'!A23="","",SUMIFS('Trade Log'!$D$5:$D$50,'Trade Log'!$B$5:$B$50,"CMOP.L",'Trade Log'!$A$5:$A$50,"&lt;="&amp;'Price History'!A23))</f>
        <v/>
      </c>
      <c r="F23" s="28" t="str">
        <f>IF('Price History'!A23="","",SUMIFS('Trade Log'!$D$5:$D$50,'Trade Log'!$B$5:$B$50,"EUNA.DE",'Trade Log'!$A$5:$A$50,"&lt;="&amp;'Price History'!A23))</f>
        <v/>
      </c>
      <c r="G23" s="28" t="str">
        <f>IF('Price History'!A23="","",SUMIFS('Trade Log'!$D$5:$D$50,'Trade Log'!$B$5:$B$50,"SXR8.DE",'Trade Log'!$A$5:$A$50,"&lt;="&amp;'Price History'!A23))</f>
        <v/>
      </c>
    </row>
    <row r="24" spans="1:7" x14ac:dyDescent="0.3">
      <c r="A24" s="27" t="str">
        <f>IF('Price History'!A24="","",'Price History'!A24)</f>
        <v/>
      </c>
      <c r="B24" s="28" t="str">
        <f>IF('Price History'!A24="","",SUMIFS('Trade Log'!$D$5:$D$50,'Trade Log'!$B$5:$B$50,"VWCE.DE",'Trade Log'!$A$5:$A$50,"&lt;="&amp;'Price History'!A24))</f>
        <v/>
      </c>
      <c r="C24" s="28" t="str">
        <f>IF('Price History'!A24="","",SUMIFS('Trade Log'!$D$5:$D$50,'Trade Log'!$B$5:$B$50,"IWVL.L",'Trade Log'!$A$5:$A$50,"&lt;="&amp;'Price History'!A24))</f>
        <v/>
      </c>
      <c r="D24" s="28" t="str">
        <f>IF('Price History'!A24="","",SUMIFS('Trade Log'!$D$5:$D$50,'Trade Log'!$B$5:$B$50,"EGLN.L",'Trade Log'!$A$5:$A$50,"&lt;="&amp;'Price History'!A24))</f>
        <v/>
      </c>
      <c r="E24" s="28" t="str">
        <f>IF('Price History'!A24="","",SUMIFS('Trade Log'!$D$5:$D$50,'Trade Log'!$B$5:$B$50,"CMOP.L",'Trade Log'!$A$5:$A$50,"&lt;="&amp;'Price History'!A24))</f>
        <v/>
      </c>
      <c r="F24" s="28" t="str">
        <f>IF('Price History'!A24="","",SUMIFS('Trade Log'!$D$5:$D$50,'Trade Log'!$B$5:$B$50,"EUNA.DE",'Trade Log'!$A$5:$A$50,"&lt;="&amp;'Price History'!A24))</f>
        <v/>
      </c>
      <c r="G24" s="28" t="str">
        <f>IF('Price History'!A24="","",SUMIFS('Trade Log'!$D$5:$D$50,'Trade Log'!$B$5:$B$50,"SXR8.DE",'Trade Log'!$A$5:$A$50,"&lt;="&amp;'Price History'!A24))</f>
        <v/>
      </c>
    </row>
    <row r="25" spans="1:7" x14ac:dyDescent="0.3">
      <c r="A25" s="27" t="str">
        <f>IF('Price History'!A25="","",'Price History'!A25)</f>
        <v/>
      </c>
      <c r="B25" s="28" t="str">
        <f>IF('Price History'!A25="","",SUMIFS('Trade Log'!$D$5:$D$50,'Trade Log'!$B$5:$B$50,"VWCE.DE",'Trade Log'!$A$5:$A$50,"&lt;="&amp;'Price History'!A25))</f>
        <v/>
      </c>
      <c r="C25" s="28" t="str">
        <f>IF('Price History'!A25="","",SUMIFS('Trade Log'!$D$5:$D$50,'Trade Log'!$B$5:$B$50,"IWVL.L",'Trade Log'!$A$5:$A$50,"&lt;="&amp;'Price History'!A25))</f>
        <v/>
      </c>
      <c r="D25" s="28" t="str">
        <f>IF('Price History'!A25="","",SUMIFS('Trade Log'!$D$5:$D$50,'Trade Log'!$B$5:$B$50,"EGLN.L",'Trade Log'!$A$5:$A$50,"&lt;="&amp;'Price History'!A25))</f>
        <v/>
      </c>
      <c r="E25" s="28" t="str">
        <f>IF('Price History'!A25="","",SUMIFS('Trade Log'!$D$5:$D$50,'Trade Log'!$B$5:$B$50,"CMOP.L",'Trade Log'!$A$5:$A$50,"&lt;="&amp;'Price History'!A25))</f>
        <v/>
      </c>
      <c r="F25" s="28" t="str">
        <f>IF('Price History'!A25="","",SUMIFS('Trade Log'!$D$5:$D$50,'Trade Log'!$B$5:$B$50,"EUNA.DE",'Trade Log'!$A$5:$A$50,"&lt;="&amp;'Price History'!A25))</f>
        <v/>
      </c>
      <c r="G25" s="28" t="str">
        <f>IF('Price History'!A25="","",SUMIFS('Trade Log'!$D$5:$D$50,'Trade Log'!$B$5:$B$50,"SXR8.DE",'Trade Log'!$A$5:$A$50,"&lt;="&amp;'Price History'!A25))</f>
        <v/>
      </c>
    </row>
    <row r="26" spans="1:7" x14ac:dyDescent="0.3">
      <c r="A26" s="27" t="str">
        <f>IF('Price History'!A26="","",'Price History'!A26)</f>
        <v/>
      </c>
      <c r="B26" s="28" t="str">
        <f>IF('Price History'!A26="","",SUMIFS('Trade Log'!$D$5:$D$50,'Trade Log'!$B$5:$B$50,"VWCE.DE",'Trade Log'!$A$5:$A$50,"&lt;="&amp;'Price History'!A26))</f>
        <v/>
      </c>
      <c r="C26" s="28" t="str">
        <f>IF('Price History'!A26="","",SUMIFS('Trade Log'!$D$5:$D$50,'Trade Log'!$B$5:$B$50,"IWVL.L",'Trade Log'!$A$5:$A$50,"&lt;="&amp;'Price History'!A26))</f>
        <v/>
      </c>
      <c r="D26" s="28" t="str">
        <f>IF('Price History'!A26="","",SUMIFS('Trade Log'!$D$5:$D$50,'Trade Log'!$B$5:$B$50,"EGLN.L",'Trade Log'!$A$5:$A$50,"&lt;="&amp;'Price History'!A26))</f>
        <v/>
      </c>
      <c r="E26" s="28" t="str">
        <f>IF('Price History'!A26="","",SUMIFS('Trade Log'!$D$5:$D$50,'Trade Log'!$B$5:$B$50,"CMOP.L",'Trade Log'!$A$5:$A$50,"&lt;="&amp;'Price History'!A26))</f>
        <v/>
      </c>
      <c r="F26" s="28" t="str">
        <f>IF('Price History'!A26="","",SUMIFS('Trade Log'!$D$5:$D$50,'Trade Log'!$B$5:$B$50,"EUNA.DE",'Trade Log'!$A$5:$A$50,"&lt;="&amp;'Price History'!A26))</f>
        <v/>
      </c>
      <c r="G26" s="28" t="str">
        <f>IF('Price History'!A26="","",SUMIFS('Trade Log'!$D$5:$D$50,'Trade Log'!$B$5:$B$50,"SXR8.DE",'Trade Log'!$A$5:$A$50,"&lt;="&amp;'Price History'!A26))</f>
        <v/>
      </c>
    </row>
    <row r="27" spans="1:7" x14ac:dyDescent="0.3">
      <c r="A27" s="27" t="str">
        <f>IF('Price History'!A27="","",'Price History'!A27)</f>
        <v/>
      </c>
      <c r="B27" s="28" t="str">
        <f>IF('Price History'!A27="","",SUMIFS('Trade Log'!$D$5:$D$50,'Trade Log'!$B$5:$B$50,"VWCE.DE",'Trade Log'!$A$5:$A$50,"&lt;="&amp;'Price History'!A27))</f>
        <v/>
      </c>
      <c r="C27" s="28" t="str">
        <f>IF('Price History'!A27="","",SUMIFS('Trade Log'!$D$5:$D$50,'Trade Log'!$B$5:$B$50,"IWVL.L",'Trade Log'!$A$5:$A$50,"&lt;="&amp;'Price History'!A27))</f>
        <v/>
      </c>
      <c r="D27" s="28" t="str">
        <f>IF('Price History'!A27="","",SUMIFS('Trade Log'!$D$5:$D$50,'Trade Log'!$B$5:$B$50,"EGLN.L",'Trade Log'!$A$5:$A$50,"&lt;="&amp;'Price History'!A27))</f>
        <v/>
      </c>
      <c r="E27" s="28" t="str">
        <f>IF('Price History'!A27="","",SUMIFS('Trade Log'!$D$5:$D$50,'Trade Log'!$B$5:$B$50,"CMOP.L",'Trade Log'!$A$5:$A$50,"&lt;="&amp;'Price History'!A27))</f>
        <v/>
      </c>
      <c r="F27" s="28" t="str">
        <f>IF('Price History'!A27="","",SUMIFS('Trade Log'!$D$5:$D$50,'Trade Log'!$B$5:$B$50,"EUNA.DE",'Trade Log'!$A$5:$A$50,"&lt;="&amp;'Price History'!A27))</f>
        <v/>
      </c>
      <c r="G27" s="28" t="str">
        <f>IF('Price History'!A27="","",SUMIFS('Trade Log'!$D$5:$D$50,'Trade Log'!$B$5:$B$50,"SXR8.DE",'Trade Log'!$A$5:$A$50,"&lt;="&amp;'Price History'!A27))</f>
        <v/>
      </c>
    </row>
    <row r="28" spans="1:7" x14ac:dyDescent="0.3">
      <c r="A28" s="27" t="str">
        <f>IF('Price History'!A28="","",'Price History'!A28)</f>
        <v/>
      </c>
      <c r="B28" s="28" t="str">
        <f>IF('Price History'!A28="","",SUMIFS('Trade Log'!$D$5:$D$50,'Trade Log'!$B$5:$B$50,"VWCE.DE",'Trade Log'!$A$5:$A$50,"&lt;="&amp;'Price History'!A28))</f>
        <v/>
      </c>
      <c r="C28" s="28" t="str">
        <f>IF('Price History'!A28="","",SUMIFS('Trade Log'!$D$5:$D$50,'Trade Log'!$B$5:$B$50,"IWVL.L",'Trade Log'!$A$5:$A$50,"&lt;="&amp;'Price History'!A28))</f>
        <v/>
      </c>
      <c r="D28" s="28" t="str">
        <f>IF('Price History'!A28="","",SUMIFS('Trade Log'!$D$5:$D$50,'Trade Log'!$B$5:$B$50,"EGLN.L",'Trade Log'!$A$5:$A$50,"&lt;="&amp;'Price History'!A28))</f>
        <v/>
      </c>
      <c r="E28" s="28" t="str">
        <f>IF('Price History'!A28="","",SUMIFS('Trade Log'!$D$5:$D$50,'Trade Log'!$B$5:$B$50,"CMOP.L",'Trade Log'!$A$5:$A$50,"&lt;="&amp;'Price History'!A28))</f>
        <v/>
      </c>
      <c r="F28" s="28" t="str">
        <f>IF('Price History'!A28="","",SUMIFS('Trade Log'!$D$5:$D$50,'Trade Log'!$B$5:$B$50,"EUNA.DE",'Trade Log'!$A$5:$A$50,"&lt;="&amp;'Price History'!A28))</f>
        <v/>
      </c>
      <c r="G28" s="28" t="str">
        <f>IF('Price History'!A28="","",SUMIFS('Trade Log'!$D$5:$D$50,'Trade Log'!$B$5:$B$50,"SXR8.DE",'Trade Log'!$A$5:$A$50,"&lt;="&amp;'Price History'!A28))</f>
        <v/>
      </c>
    </row>
    <row r="29" spans="1:7" x14ac:dyDescent="0.3">
      <c r="A29" s="27" t="str">
        <f>IF('Price History'!A29="","",'Price History'!A29)</f>
        <v/>
      </c>
      <c r="B29" s="28" t="str">
        <f>IF('Price History'!A29="","",SUMIFS('Trade Log'!$D$5:$D$50,'Trade Log'!$B$5:$B$50,"VWCE.DE",'Trade Log'!$A$5:$A$50,"&lt;="&amp;'Price History'!A29))</f>
        <v/>
      </c>
      <c r="C29" s="28" t="str">
        <f>IF('Price History'!A29="","",SUMIFS('Trade Log'!$D$5:$D$50,'Trade Log'!$B$5:$B$50,"IWVL.L",'Trade Log'!$A$5:$A$50,"&lt;="&amp;'Price History'!A29))</f>
        <v/>
      </c>
      <c r="D29" s="28" t="str">
        <f>IF('Price History'!A29="","",SUMIFS('Trade Log'!$D$5:$D$50,'Trade Log'!$B$5:$B$50,"EGLN.L",'Trade Log'!$A$5:$A$50,"&lt;="&amp;'Price History'!A29))</f>
        <v/>
      </c>
      <c r="E29" s="28" t="str">
        <f>IF('Price History'!A29="","",SUMIFS('Trade Log'!$D$5:$D$50,'Trade Log'!$B$5:$B$50,"CMOP.L",'Trade Log'!$A$5:$A$50,"&lt;="&amp;'Price History'!A29))</f>
        <v/>
      </c>
      <c r="F29" s="28" t="str">
        <f>IF('Price History'!A29="","",SUMIFS('Trade Log'!$D$5:$D$50,'Trade Log'!$B$5:$B$50,"EUNA.DE",'Trade Log'!$A$5:$A$50,"&lt;="&amp;'Price History'!A29))</f>
        <v/>
      </c>
      <c r="G29" s="28" t="str">
        <f>IF('Price History'!A29="","",SUMIFS('Trade Log'!$D$5:$D$50,'Trade Log'!$B$5:$B$50,"SXR8.DE",'Trade Log'!$A$5:$A$50,"&lt;="&amp;'Price History'!A29))</f>
        <v/>
      </c>
    </row>
    <row r="30" spans="1:7" x14ac:dyDescent="0.3">
      <c r="A30" s="27" t="str">
        <f>IF('Price History'!A30="","",'Price History'!A30)</f>
        <v/>
      </c>
      <c r="B30" s="28" t="str">
        <f>IF('Price History'!A30="","",SUMIFS('Trade Log'!$D$5:$D$50,'Trade Log'!$B$5:$B$50,"VWCE.DE",'Trade Log'!$A$5:$A$50,"&lt;="&amp;'Price History'!A30))</f>
        <v/>
      </c>
      <c r="C30" s="28" t="str">
        <f>IF('Price History'!A30="","",SUMIFS('Trade Log'!$D$5:$D$50,'Trade Log'!$B$5:$B$50,"IWVL.L",'Trade Log'!$A$5:$A$50,"&lt;="&amp;'Price History'!A30))</f>
        <v/>
      </c>
      <c r="D30" s="28" t="str">
        <f>IF('Price History'!A30="","",SUMIFS('Trade Log'!$D$5:$D$50,'Trade Log'!$B$5:$B$50,"EGLN.L",'Trade Log'!$A$5:$A$50,"&lt;="&amp;'Price History'!A30))</f>
        <v/>
      </c>
      <c r="E30" s="28" t="str">
        <f>IF('Price History'!A30="","",SUMIFS('Trade Log'!$D$5:$D$50,'Trade Log'!$B$5:$B$50,"CMOP.L",'Trade Log'!$A$5:$A$50,"&lt;="&amp;'Price History'!A30))</f>
        <v/>
      </c>
      <c r="F30" s="28" t="str">
        <f>IF('Price History'!A30="","",SUMIFS('Trade Log'!$D$5:$D$50,'Trade Log'!$B$5:$B$50,"EUNA.DE",'Trade Log'!$A$5:$A$50,"&lt;="&amp;'Price History'!A30))</f>
        <v/>
      </c>
      <c r="G30" s="28" t="str">
        <f>IF('Price History'!A30="","",SUMIFS('Trade Log'!$D$5:$D$50,'Trade Log'!$B$5:$B$50,"SXR8.DE",'Trade Log'!$A$5:$A$50,"&lt;="&amp;'Price History'!A30))</f>
        <v/>
      </c>
    </row>
    <row r="31" spans="1:7" x14ac:dyDescent="0.3">
      <c r="A31" s="27" t="str">
        <f>IF('Price History'!A31="","",'Price History'!A31)</f>
        <v/>
      </c>
      <c r="B31" s="28" t="str">
        <f>IF('Price History'!A31="","",SUMIFS('Trade Log'!$D$5:$D$50,'Trade Log'!$B$5:$B$50,"VWCE.DE",'Trade Log'!$A$5:$A$50,"&lt;="&amp;'Price History'!A31))</f>
        <v/>
      </c>
      <c r="C31" s="28" t="str">
        <f>IF('Price History'!A31="","",SUMIFS('Trade Log'!$D$5:$D$50,'Trade Log'!$B$5:$B$50,"IWVL.L",'Trade Log'!$A$5:$A$50,"&lt;="&amp;'Price History'!A31))</f>
        <v/>
      </c>
      <c r="D31" s="28" t="str">
        <f>IF('Price History'!A31="","",SUMIFS('Trade Log'!$D$5:$D$50,'Trade Log'!$B$5:$B$50,"EGLN.L",'Trade Log'!$A$5:$A$50,"&lt;="&amp;'Price History'!A31))</f>
        <v/>
      </c>
      <c r="E31" s="28" t="str">
        <f>IF('Price History'!A31="","",SUMIFS('Trade Log'!$D$5:$D$50,'Trade Log'!$B$5:$B$50,"CMOP.L",'Trade Log'!$A$5:$A$50,"&lt;="&amp;'Price History'!A31))</f>
        <v/>
      </c>
      <c r="F31" s="28" t="str">
        <f>IF('Price History'!A31="","",SUMIFS('Trade Log'!$D$5:$D$50,'Trade Log'!$B$5:$B$50,"EUNA.DE",'Trade Log'!$A$5:$A$50,"&lt;="&amp;'Price History'!A31))</f>
        <v/>
      </c>
      <c r="G31" s="28" t="str">
        <f>IF('Price History'!A31="","",SUMIFS('Trade Log'!$D$5:$D$50,'Trade Log'!$B$5:$B$50,"SXR8.DE",'Trade Log'!$A$5:$A$50,"&lt;="&amp;'Price History'!A31))</f>
        <v/>
      </c>
    </row>
    <row r="32" spans="1:7" x14ac:dyDescent="0.3">
      <c r="A32" s="27" t="str">
        <f>IF('Price History'!A32="","",'Price History'!A32)</f>
        <v/>
      </c>
      <c r="B32" s="28" t="str">
        <f>IF('Price History'!A32="","",SUMIFS('Trade Log'!$D$5:$D$50,'Trade Log'!$B$5:$B$50,"VWCE.DE",'Trade Log'!$A$5:$A$50,"&lt;="&amp;'Price History'!A32))</f>
        <v/>
      </c>
      <c r="C32" s="28" t="str">
        <f>IF('Price History'!A32="","",SUMIFS('Trade Log'!$D$5:$D$50,'Trade Log'!$B$5:$B$50,"IWVL.L",'Trade Log'!$A$5:$A$50,"&lt;="&amp;'Price History'!A32))</f>
        <v/>
      </c>
      <c r="D32" s="28" t="str">
        <f>IF('Price History'!A32="","",SUMIFS('Trade Log'!$D$5:$D$50,'Trade Log'!$B$5:$B$50,"EGLN.L",'Trade Log'!$A$5:$A$50,"&lt;="&amp;'Price History'!A32))</f>
        <v/>
      </c>
      <c r="E32" s="28" t="str">
        <f>IF('Price History'!A32="","",SUMIFS('Trade Log'!$D$5:$D$50,'Trade Log'!$B$5:$B$50,"CMOP.L",'Trade Log'!$A$5:$A$50,"&lt;="&amp;'Price History'!A32))</f>
        <v/>
      </c>
      <c r="F32" s="28" t="str">
        <f>IF('Price History'!A32="","",SUMIFS('Trade Log'!$D$5:$D$50,'Trade Log'!$B$5:$B$50,"EUNA.DE",'Trade Log'!$A$5:$A$50,"&lt;="&amp;'Price History'!A32))</f>
        <v/>
      </c>
      <c r="G32" s="28" t="str">
        <f>IF('Price History'!A32="","",SUMIFS('Trade Log'!$D$5:$D$50,'Trade Log'!$B$5:$B$50,"SXR8.DE",'Trade Log'!$A$5:$A$50,"&lt;="&amp;'Price History'!A32))</f>
        <v/>
      </c>
    </row>
    <row r="33" spans="1:7" x14ac:dyDescent="0.3">
      <c r="A33" s="27" t="str">
        <f>IF('Price History'!A33="","",'Price History'!A33)</f>
        <v/>
      </c>
      <c r="B33" s="28" t="str">
        <f>IF('Price History'!A33="","",SUMIFS('Trade Log'!$D$5:$D$50,'Trade Log'!$B$5:$B$50,"VWCE.DE",'Trade Log'!$A$5:$A$50,"&lt;="&amp;'Price History'!A33))</f>
        <v/>
      </c>
      <c r="C33" s="28" t="str">
        <f>IF('Price History'!A33="","",SUMIFS('Trade Log'!$D$5:$D$50,'Trade Log'!$B$5:$B$50,"IWVL.L",'Trade Log'!$A$5:$A$50,"&lt;="&amp;'Price History'!A33))</f>
        <v/>
      </c>
      <c r="D33" s="28" t="str">
        <f>IF('Price History'!A33="","",SUMIFS('Trade Log'!$D$5:$D$50,'Trade Log'!$B$5:$B$50,"EGLN.L",'Trade Log'!$A$5:$A$50,"&lt;="&amp;'Price History'!A33))</f>
        <v/>
      </c>
      <c r="E33" s="28" t="str">
        <f>IF('Price History'!A33="","",SUMIFS('Trade Log'!$D$5:$D$50,'Trade Log'!$B$5:$B$50,"CMOP.L",'Trade Log'!$A$5:$A$50,"&lt;="&amp;'Price History'!A33))</f>
        <v/>
      </c>
      <c r="F33" s="28" t="str">
        <f>IF('Price History'!A33="","",SUMIFS('Trade Log'!$D$5:$D$50,'Trade Log'!$B$5:$B$50,"EUNA.DE",'Trade Log'!$A$5:$A$50,"&lt;="&amp;'Price History'!A33))</f>
        <v/>
      </c>
      <c r="G33" s="28" t="str">
        <f>IF('Price History'!A33="","",SUMIFS('Trade Log'!$D$5:$D$50,'Trade Log'!$B$5:$B$50,"SXR8.DE",'Trade Log'!$A$5:$A$50,"&lt;="&amp;'Price History'!A33))</f>
        <v/>
      </c>
    </row>
    <row r="34" spans="1:7" x14ac:dyDescent="0.3">
      <c r="A34" s="27" t="str">
        <f>IF('Price History'!A34="","",'Price History'!A34)</f>
        <v/>
      </c>
      <c r="B34" s="28" t="str">
        <f>IF('Price History'!A34="","",SUMIFS('Trade Log'!$D$5:$D$50,'Trade Log'!$B$5:$B$50,"VWCE.DE",'Trade Log'!$A$5:$A$50,"&lt;="&amp;'Price History'!A34))</f>
        <v/>
      </c>
      <c r="C34" s="28" t="str">
        <f>IF('Price History'!A34="","",SUMIFS('Trade Log'!$D$5:$D$50,'Trade Log'!$B$5:$B$50,"IWVL.L",'Trade Log'!$A$5:$A$50,"&lt;="&amp;'Price History'!A34))</f>
        <v/>
      </c>
      <c r="D34" s="28" t="str">
        <f>IF('Price History'!A34="","",SUMIFS('Trade Log'!$D$5:$D$50,'Trade Log'!$B$5:$B$50,"EGLN.L",'Trade Log'!$A$5:$A$50,"&lt;="&amp;'Price History'!A34))</f>
        <v/>
      </c>
      <c r="E34" s="28" t="str">
        <f>IF('Price History'!A34="","",SUMIFS('Trade Log'!$D$5:$D$50,'Trade Log'!$B$5:$B$50,"CMOP.L",'Trade Log'!$A$5:$A$50,"&lt;="&amp;'Price History'!A34))</f>
        <v/>
      </c>
      <c r="F34" s="28" t="str">
        <f>IF('Price History'!A34="","",SUMIFS('Trade Log'!$D$5:$D$50,'Trade Log'!$B$5:$B$50,"EUNA.DE",'Trade Log'!$A$5:$A$50,"&lt;="&amp;'Price History'!A34))</f>
        <v/>
      </c>
      <c r="G34" s="28" t="str">
        <f>IF('Price History'!A34="","",SUMIFS('Trade Log'!$D$5:$D$50,'Trade Log'!$B$5:$B$50,"SXR8.DE",'Trade Log'!$A$5:$A$50,"&lt;="&amp;'Price History'!A34))</f>
        <v/>
      </c>
    </row>
    <row r="35" spans="1:7" x14ac:dyDescent="0.3">
      <c r="A35" s="27" t="str">
        <f>IF('Price History'!A35="","",'Price History'!A35)</f>
        <v/>
      </c>
      <c r="B35" s="28" t="str">
        <f>IF('Price History'!A35="","",SUMIFS('Trade Log'!$D$5:$D$50,'Trade Log'!$B$5:$B$50,"VWCE.DE",'Trade Log'!$A$5:$A$50,"&lt;="&amp;'Price History'!A35))</f>
        <v/>
      </c>
      <c r="C35" s="28" t="str">
        <f>IF('Price History'!A35="","",SUMIFS('Trade Log'!$D$5:$D$50,'Trade Log'!$B$5:$B$50,"IWVL.L",'Trade Log'!$A$5:$A$50,"&lt;="&amp;'Price History'!A35))</f>
        <v/>
      </c>
      <c r="D35" s="28" t="str">
        <f>IF('Price History'!A35="","",SUMIFS('Trade Log'!$D$5:$D$50,'Trade Log'!$B$5:$B$50,"EGLN.L",'Trade Log'!$A$5:$A$50,"&lt;="&amp;'Price History'!A35))</f>
        <v/>
      </c>
      <c r="E35" s="28" t="str">
        <f>IF('Price History'!A35="","",SUMIFS('Trade Log'!$D$5:$D$50,'Trade Log'!$B$5:$B$50,"CMOP.L",'Trade Log'!$A$5:$A$50,"&lt;="&amp;'Price History'!A35))</f>
        <v/>
      </c>
      <c r="F35" s="28" t="str">
        <f>IF('Price History'!A35="","",SUMIFS('Trade Log'!$D$5:$D$50,'Trade Log'!$B$5:$B$50,"EUNA.DE",'Trade Log'!$A$5:$A$50,"&lt;="&amp;'Price History'!A35))</f>
        <v/>
      </c>
      <c r="G35" s="28" t="str">
        <f>IF('Price History'!A35="","",SUMIFS('Trade Log'!$D$5:$D$50,'Trade Log'!$B$5:$B$50,"SXR8.DE",'Trade Log'!$A$5:$A$50,"&lt;="&amp;'Price History'!A35))</f>
        <v/>
      </c>
    </row>
    <row r="36" spans="1:7" x14ac:dyDescent="0.3">
      <c r="A36" s="27" t="str">
        <f>IF('Price History'!A36="","",'Price History'!A36)</f>
        <v/>
      </c>
      <c r="B36" s="28" t="str">
        <f>IF('Price History'!A36="","",SUMIFS('Trade Log'!$D$5:$D$50,'Trade Log'!$B$5:$B$50,"VWCE.DE",'Trade Log'!$A$5:$A$50,"&lt;="&amp;'Price History'!A36))</f>
        <v/>
      </c>
      <c r="C36" s="28" t="str">
        <f>IF('Price History'!A36="","",SUMIFS('Trade Log'!$D$5:$D$50,'Trade Log'!$B$5:$B$50,"IWVL.L",'Trade Log'!$A$5:$A$50,"&lt;="&amp;'Price History'!A36))</f>
        <v/>
      </c>
      <c r="D36" s="28" t="str">
        <f>IF('Price History'!A36="","",SUMIFS('Trade Log'!$D$5:$D$50,'Trade Log'!$B$5:$B$50,"EGLN.L",'Trade Log'!$A$5:$A$50,"&lt;="&amp;'Price History'!A36))</f>
        <v/>
      </c>
      <c r="E36" s="28" t="str">
        <f>IF('Price History'!A36="","",SUMIFS('Trade Log'!$D$5:$D$50,'Trade Log'!$B$5:$B$50,"CMOP.L",'Trade Log'!$A$5:$A$50,"&lt;="&amp;'Price History'!A36))</f>
        <v/>
      </c>
      <c r="F36" s="28" t="str">
        <f>IF('Price History'!A36="","",SUMIFS('Trade Log'!$D$5:$D$50,'Trade Log'!$B$5:$B$50,"EUNA.DE",'Trade Log'!$A$5:$A$50,"&lt;="&amp;'Price History'!A36))</f>
        <v/>
      </c>
      <c r="G36" s="28" t="str">
        <f>IF('Price History'!A36="","",SUMIFS('Trade Log'!$D$5:$D$50,'Trade Log'!$B$5:$B$50,"SXR8.DE",'Trade Log'!$A$5:$A$50,"&lt;="&amp;'Price History'!A36))</f>
        <v/>
      </c>
    </row>
    <row r="37" spans="1:7" x14ac:dyDescent="0.3">
      <c r="A37" s="27" t="str">
        <f>IF('Price History'!A37="","",'Price History'!A37)</f>
        <v/>
      </c>
      <c r="B37" s="28" t="str">
        <f>IF('Price History'!A37="","",SUMIFS('Trade Log'!$D$5:$D$50,'Trade Log'!$B$5:$B$50,"VWCE.DE",'Trade Log'!$A$5:$A$50,"&lt;="&amp;'Price History'!A37))</f>
        <v/>
      </c>
      <c r="C37" s="28" t="str">
        <f>IF('Price History'!A37="","",SUMIFS('Trade Log'!$D$5:$D$50,'Trade Log'!$B$5:$B$50,"IWVL.L",'Trade Log'!$A$5:$A$50,"&lt;="&amp;'Price History'!A37))</f>
        <v/>
      </c>
      <c r="D37" s="28" t="str">
        <f>IF('Price History'!A37="","",SUMIFS('Trade Log'!$D$5:$D$50,'Trade Log'!$B$5:$B$50,"EGLN.L",'Trade Log'!$A$5:$A$50,"&lt;="&amp;'Price History'!A37))</f>
        <v/>
      </c>
      <c r="E37" s="28" t="str">
        <f>IF('Price History'!A37="","",SUMIFS('Trade Log'!$D$5:$D$50,'Trade Log'!$B$5:$B$50,"CMOP.L",'Trade Log'!$A$5:$A$50,"&lt;="&amp;'Price History'!A37))</f>
        <v/>
      </c>
      <c r="F37" s="28" t="str">
        <f>IF('Price History'!A37="","",SUMIFS('Trade Log'!$D$5:$D$50,'Trade Log'!$B$5:$B$50,"EUNA.DE",'Trade Log'!$A$5:$A$50,"&lt;="&amp;'Price History'!A37))</f>
        <v/>
      </c>
      <c r="G37" s="28" t="str">
        <f>IF('Price History'!A37="","",SUMIFS('Trade Log'!$D$5:$D$50,'Trade Log'!$B$5:$B$50,"SXR8.DE",'Trade Log'!$A$5:$A$50,"&lt;="&amp;'Price History'!A37))</f>
        <v/>
      </c>
    </row>
    <row r="38" spans="1:7" x14ac:dyDescent="0.3">
      <c r="A38" s="27" t="str">
        <f>IF('Price History'!A38="","",'Price History'!A38)</f>
        <v/>
      </c>
      <c r="B38" s="28" t="str">
        <f>IF('Price History'!A38="","",SUMIFS('Trade Log'!$D$5:$D$50,'Trade Log'!$B$5:$B$50,"VWCE.DE",'Trade Log'!$A$5:$A$50,"&lt;="&amp;'Price History'!A38))</f>
        <v/>
      </c>
      <c r="C38" s="28" t="str">
        <f>IF('Price History'!A38="","",SUMIFS('Trade Log'!$D$5:$D$50,'Trade Log'!$B$5:$B$50,"IWVL.L",'Trade Log'!$A$5:$A$50,"&lt;="&amp;'Price History'!A38))</f>
        <v/>
      </c>
      <c r="D38" s="28" t="str">
        <f>IF('Price History'!A38="","",SUMIFS('Trade Log'!$D$5:$D$50,'Trade Log'!$B$5:$B$50,"EGLN.L",'Trade Log'!$A$5:$A$50,"&lt;="&amp;'Price History'!A38))</f>
        <v/>
      </c>
      <c r="E38" s="28" t="str">
        <f>IF('Price History'!A38="","",SUMIFS('Trade Log'!$D$5:$D$50,'Trade Log'!$B$5:$B$50,"CMOP.L",'Trade Log'!$A$5:$A$50,"&lt;="&amp;'Price History'!A38))</f>
        <v/>
      </c>
      <c r="F38" s="28" t="str">
        <f>IF('Price History'!A38="","",SUMIFS('Trade Log'!$D$5:$D$50,'Trade Log'!$B$5:$B$50,"EUNA.DE",'Trade Log'!$A$5:$A$50,"&lt;="&amp;'Price History'!A38))</f>
        <v/>
      </c>
      <c r="G38" s="28" t="str">
        <f>IF('Price History'!A38="","",SUMIFS('Trade Log'!$D$5:$D$50,'Trade Log'!$B$5:$B$50,"SXR8.DE",'Trade Log'!$A$5:$A$50,"&lt;="&amp;'Price History'!A38))</f>
        <v/>
      </c>
    </row>
    <row r="39" spans="1:7" x14ac:dyDescent="0.3">
      <c r="A39" s="27" t="str">
        <f>IF('Price History'!A39="","",'Price History'!A39)</f>
        <v/>
      </c>
      <c r="B39" s="28" t="str">
        <f>IF('Price History'!A39="","",SUMIFS('Trade Log'!$D$5:$D$50,'Trade Log'!$B$5:$B$50,"VWCE.DE",'Trade Log'!$A$5:$A$50,"&lt;="&amp;'Price History'!A39))</f>
        <v/>
      </c>
      <c r="C39" s="28" t="str">
        <f>IF('Price History'!A39="","",SUMIFS('Trade Log'!$D$5:$D$50,'Trade Log'!$B$5:$B$50,"IWVL.L",'Trade Log'!$A$5:$A$50,"&lt;="&amp;'Price History'!A39))</f>
        <v/>
      </c>
      <c r="D39" s="28" t="str">
        <f>IF('Price History'!A39="","",SUMIFS('Trade Log'!$D$5:$D$50,'Trade Log'!$B$5:$B$50,"EGLN.L",'Trade Log'!$A$5:$A$50,"&lt;="&amp;'Price History'!A39))</f>
        <v/>
      </c>
      <c r="E39" s="28" t="str">
        <f>IF('Price History'!A39="","",SUMIFS('Trade Log'!$D$5:$D$50,'Trade Log'!$B$5:$B$50,"CMOP.L",'Trade Log'!$A$5:$A$50,"&lt;="&amp;'Price History'!A39))</f>
        <v/>
      </c>
      <c r="F39" s="28" t="str">
        <f>IF('Price History'!A39="","",SUMIFS('Trade Log'!$D$5:$D$50,'Trade Log'!$B$5:$B$50,"EUNA.DE",'Trade Log'!$A$5:$A$50,"&lt;="&amp;'Price History'!A39))</f>
        <v/>
      </c>
      <c r="G39" s="28" t="str">
        <f>IF('Price History'!A39="","",SUMIFS('Trade Log'!$D$5:$D$50,'Trade Log'!$B$5:$B$50,"SXR8.DE",'Trade Log'!$A$5:$A$50,"&lt;="&amp;'Price History'!A39))</f>
        <v/>
      </c>
    </row>
    <row r="40" spans="1:7" x14ac:dyDescent="0.3">
      <c r="A40" s="27" t="str">
        <f>IF('Price History'!A40="","",'Price History'!A40)</f>
        <v/>
      </c>
      <c r="B40" s="28" t="str">
        <f>IF('Price History'!A40="","",SUMIFS('Trade Log'!$D$5:$D$50,'Trade Log'!$B$5:$B$50,"VWCE.DE",'Trade Log'!$A$5:$A$50,"&lt;="&amp;'Price History'!A40))</f>
        <v/>
      </c>
      <c r="C40" s="28" t="str">
        <f>IF('Price History'!A40="","",SUMIFS('Trade Log'!$D$5:$D$50,'Trade Log'!$B$5:$B$50,"IWVL.L",'Trade Log'!$A$5:$A$50,"&lt;="&amp;'Price History'!A40))</f>
        <v/>
      </c>
      <c r="D40" s="28" t="str">
        <f>IF('Price History'!A40="","",SUMIFS('Trade Log'!$D$5:$D$50,'Trade Log'!$B$5:$B$50,"EGLN.L",'Trade Log'!$A$5:$A$50,"&lt;="&amp;'Price History'!A40))</f>
        <v/>
      </c>
      <c r="E40" s="28" t="str">
        <f>IF('Price History'!A40="","",SUMIFS('Trade Log'!$D$5:$D$50,'Trade Log'!$B$5:$B$50,"CMOP.L",'Trade Log'!$A$5:$A$50,"&lt;="&amp;'Price History'!A40))</f>
        <v/>
      </c>
      <c r="F40" s="28" t="str">
        <f>IF('Price History'!A40="","",SUMIFS('Trade Log'!$D$5:$D$50,'Trade Log'!$B$5:$B$50,"EUNA.DE",'Trade Log'!$A$5:$A$50,"&lt;="&amp;'Price History'!A40))</f>
        <v/>
      </c>
      <c r="G40" s="28" t="str">
        <f>IF('Price History'!A40="","",SUMIFS('Trade Log'!$D$5:$D$50,'Trade Log'!$B$5:$B$50,"SXR8.DE",'Trade Log'!$A$5:$A$50,"&lt;="&amp;'Price History'!A40))</f>
        <v/>
      </c>
    </row>
    <row r="41" spans="1:7" x14ac:dyDescent="0.3">
      <c r="A41" s="27" t="str">
        <f>IF('Price History'!A41="","",'Price History'!A41)</f>
        <v/>
      </c>
      <c r="B41" s="28" t="str">
        <f>IF('Price History'!A41="","",SUMIFS('Trade Log'!$D$5:$D$50,'Trade Log'!$B$5:$B$50,"VWCE.DE",'Trade Log'!$A$5:$A$50,"&lt;="&amp;'Price History'!A41))</f>
        <v/>
      </c>
      <c r="C41" s="28" t="str">
        <f>IF('Price History'!A41="","",SUMIFS('Trade Log'!$D$5:$D$50,'Trade Log'!$B$5:$B$50,"IWVL.L",'Trade Log'!$A$5:$A$50,"&lt;="&amp;'Price History'!A41))</f>
        <v/>
      </c>
      <c r="D41" s="28" t="str">
        <f>IF('Price History'!A41="","",SUMIFS('Trade Log'!$D$5:$D$50,'Trade Log'!$B$5:$B$50,"EGLN.L",'Trade Log'!$A$5:$A$50,"&lt;="&amp;'Price History'!A41))</f>
        <v/>
      </c>
      <c r="E41" s="28" t="str">
        <f>IF('Price History'!A41="","",SUMIFS('Trade Log'!$D$5:$D$50,'Trade Log'!$B$5:$B$50,"CMOP.L",'Trade Log'!$A$5:$A$50,"&lt;="&amp;'Price History'!A41))</f>
        <v/>
      </c>
      <c r="F41" s="28" t="str">
        <f>IF('Price History'!A41="","",SUMIFS('Trade Log'!$D$5:$D$50,'Trade Log'!$B$5:$B$50,"EUNA.DE",'Trade Log'!$A$5:$A$50,"&lt;="&amp;'Price History'!A41))</f>
        <v/>
      </c>
      <c r="G41" s="28" t="str">
        <f>IF('Price History'!A41="","",SUMIFS('Trade Log'!$D$5:$D$50,'Trade Log'!$B$5:$B$50,"SXR8.DE",'Trade Log'!$A$5:$A$50,"&lt;="&amp;'Price History'!A41))</f>
        <v/>
      </c>
    </row>
    <row r="42" spans="1:7" x14ac:dyDescent="0.3">
      <c r="A42" s="27" t="str">
        <f>IF('Price History'!A42="","",'Price History'!A42)</f>
        <v/>
      </c>
      <c r="B42" s="28" t="str">
        <f>IF('Price History'!A42="","",SUMIFS('Trade Log'!$D$5:$D$50,'Trade Log'!$B$5:$B$50,"VWCE.DE",'Trade Log'!$A$5:$A$50,"&lt;="&amp;'Price History'!A42))</f>
        <v/>
      </c>
      <c r="C42" s="28" t="str">
        <f>IF('Price History'!A42="","",SUMIFS('Trade Log'!$D$5:$D$50,'Trade Log'!$B$5:$B$50,"IWVL.L",'Trade Log'!$A$5:$A$50,"&lt;="&amp;'Price History'!A42))</f>
        <v/>
      </c>
      <c r="D42" s="28" t="str">
        <f>IF('Price History'!A42="","",SUMIFS('Trade Log'!$D$5:$D$50,'Trade Log'!$B$5:$B$50,"EGLN.L",'Trade Log'!$A$5:$A$50,"&lt;="&amp;'Price History'!A42))</f>
        <v/>
      </c>
      <c r="E42" s="28" t="str">
        <f>IF('Price History'!A42="","",SUMIFS('Trade Log'!$D$5:$D$50,'Trade Log'!$B$5:$B$50,"CMOP.L",'Trade Log'!$A$5:$A$50,"&lt;="&amp;'Price History'!A42))</f>
        <v/>
      </c>
      <c r="F42" s="28" t="str">
        <f>IF('Price History'!A42="","",SUMIFS('Trade Log'!$D$5:$D$50,'Trade Log'!$B$5:$B$50,"EUNA.DE",'Trade Log'!$A$5:$A$50,"&lt;="&amp;'Price History'!A42))</f>
        <v/>
      </c>
      <c r="G42" s="28" t="str">
        <f>IF('Price History'!A42="","",SUMIFS('Trade Log'!$D$5:$D$50,'Trade Log'!$B$5:$B$50,"SXR8.DE",'Trade Log'!$A$5:$A$50,"&lt;="&amp;'Price History'!A42))</f>
        <v/>
      </c>
    </row>
    <row r="43" spans="1:7" x14ac:dyDescent="0.3">
      <c r="A43" s="27" t="str">
        <f>IF('Price History'!A43="","",'Price History'!A43)</f>
        <v/>
      </c>
      <c r="B43" s="28" t="str">
        <f>IF('Price History'!A43="","",SUMIFS('Trade Log'!$D$5:$D$50,'Trade Log'!$B$5:$B$50,"VWCE.DE",'Trade Log'!$A$5:$A$50,"&lt;="&amp;'Price History'!A43))</f>
        <v/>
      </c>
      <c r="C43" s="28" t="str">
        <f>IF('Price History'!A43="","",SUMIFS('Trade Log'!$D$5:$D$50,'Trade Log'!$B$5:$B$50,"IWVL.L",'Trade Log'!$A$5:$A$50,"&lt;="&amp;'Price History'!A43))</f>
        <v/>
      </c>
      <c r="D43" s="28" t="str">
        <f>IF('Price History'!A43="","",SUMIFS('Trade Log'!$D$5:$D$50,'Trade Log'!$B$5:$B$50,"EGLN.L",'Trade Log'!$A$5:$A$50,"&lt;="&amp;'Price History'!A43))</f>
        <v/>
      </c>
      <c r="E43" s="28" t="str">
        <f>IF('Price History'!A43="","",SUMIFS('Trade Log'!$D$5:$D$50,'Trade Log'!$B$5:$B$50,"CMOP.L",'Trade Log'!$A$5:$A$50,"&lt;="&amp;'Price History'!A43))</f>
        <v/>
      </c>
      <c r="F43" s="28" t="str">
        <f>IF('Price History'!A43="","",SUMIFS('Trade Log'!$D$5:$D$50,'Trade Log'!$B$5:$B$50,"EUNA.DE",'Trade Log'!$A$5:$A$50,"&lt;="&amp;'Price History'!A43))</f>
        <v/>
      </c>
      <c r="G43" s="28" t="str">
        <f>IF('Price History'!A43="","",SUMIFS('Trade Log'!$D$5:$D$50,'Trade Log'!$B$5:$B$50,"SXR8.DE",'Trade Log'!$A$5:$A$50,"&lt;="&amp;'Price History'!A43))</f>
        <v/>
      </c>
    </row>
    <row r="44" spans="1:7" x14ac:dyDescent="0.3">
      <c r="A44" s="27" t="str">
        <f>IF('Price History'!A44="","",'Price History'!A44)</f>
        <v/>
      </c>
      <c r="B44" s="28" t="str">
        <f>IF('Price History'!A44="","",SUMIFS('Trade Log'!$D$5:$D$50,'Trade Log'!$B$5:$B$50,"VWCE.DE",'Trade Log'!$A$5:$A$50,"&lt;="&amp;'Price History'!A44))</f>
        <v/>
      </c>
      <c r="C44" s="28" t="str">
        <f>IF('Price History'!A44="","",SUMIFS('Trade Log'!$D$5:$D$50,'Trade Log'!$B$5:$B$50,"IWVL.L",'Trade Log'!$A$5:$A$50,"&lt;="&amp;'Price History'!A44))</f>
        <v/>
      </c>
      <c r="D44" s="28" t="str">
        <f>IF('Price History'!A44="","",SUMIFS('Trade Log'!$D$5:$D$50,'Trade Log'!$B$5:$B$50,"EGLN.L",'Trade Log'!$A$5:$A$50,"&lt;="&amp;'Price History'!A44))</f>
        <v/>
      </c>
      <c r="E44" s="28" t="str">
        <f>IF('Price History'!A44="","",SUMIFS('Trade Log'!$D$5:$D$50,'Trade Log'!$B$5:$B$50,"CMOP.L",'Trade Log'!$A$5:$A$50,"&lt;="&amp;'Price History'!A44))</f>
        <v/>
      </c>
      <c r="F44" s="28" t="str">
        <f>IF('Price History'!A44="","",SUMIFS('Trade Log'!$D$5:$D$50,'Trade Log'!$B$5:$B$50,"EUNA.DE",'Trade Log'!$A$5:$A$50,"&lt;="&amp;'Price History'!A44))</f>
        <v/>
      </c>
      <c r="G44" s="28" t="str">
        <f>IF('Price History'!A44="","",SUMIFS('Trade Log'!$D$5:$D$50,'Trade Log'!$B$5:$B$50,"SXR8.DE",'Trade Log'!$A$5:$A$50,"&lt;="&amp;'Price History'!A44))</f>
        <v/>
      </c>
    </row>
    <row r="45" spans="1:7" x14ac:dyDescent="0.3">
      <c r="A45" s="27" t="str">
        <f>IF('Price History'!A45="","",'Price History'!A45)</f>
        <v/>
      </c>
      <c r="B45" s="28" t="str">
        <f>IF('Price History'!A45="","",SUMIFS('Trade Log'!$D$5:$D$50,'Trade Log'!$B$5:$B$50,"VWCE.DE",'Trade Log'!$A$5:$A$50,"&lt;="&amp;'Price History'!A45))</f>
        <v/>
      </c>
      <c r="C45" s="28" t="str">
        <f>IF('Price History'!A45="","",SUMIFS('Trade Log'!$D$5:$D$50,'Trade Log'!$B$5:$B$50,"IWVL.L",'Trade Log'!$A$5:$A$50,"&lt;="&amp;'Price History'!A45))</f>
        <v/>
      </c>
      <c r="D45" s="28" t="str">
        <f>IF('Price History'!A45="","",SUMIFS('Trade Log'!$D$5:$D$50,'Trade Log'!$B$5:$B$50,"EGLN.L",'Trade Log'!$A$5:$A$50,"&lt;="&amp;'Price History'!A45))</f>
        <v/>
      </c>
      <c r="E45" s="28" t="str">
        <f>IF('Price History'!A45="","",SUMIFS('Trade Log'!$D$5:$D$50,'Trade Log'!$B$5:$B$50,"CMOP.L",'Trade Log'!$A$5:$A$50,"&lt;="&amp;'Price History'!A45))</f>
        <v/>
      </c>
      <c r="F45" s="28" t="str">
        <f>IF('Price History'!A45="","",SUMIFS('Trade Log'!$D$5:$D$50,'Trade Log'!$B$5:$B$50,"EUNA.DE",'Trade Log'!$A$5:$A$50,"&lt;="&amp;'Price History'!A45))</f>
        <v/>
      </c>
      <c r="G45" s="28" t="str">
        <f>IF('Price History'!A45="","",SUMIFS('Trade Log'!$D$5:$D$50,'Trade Log'!$B$5:$B$50,"SXR8.DE",'Trade Log'!$A$5:$A$50,"&lt;="&amp;'Price History'!A45))</f>
        <v/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6"/>
  <sheetViews>
    <sheetView showGridLines="0" zoomScaleNormal="100" workbookViewId="0">
      <selection sqref="A1:I1"/>
    </sheetView>
  </sheetViews>
  <sheetFormatPr defaultColWidth="8.6640625" defaultRowHeight="14.4" x14ac:dyDescent="0.3"/>
  <cols>
    <col min="1" max="1" width="13" customWidth="1"/>
    <col min="2" max="9" width="15" customWidth="1"/>
  </cols>
  <sheetData>
    <row r="1" spans="1:9" ht="21" x14ac:dyDescent="0.4">
      <c r="A1" s="3" t="s">
        <v>66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1" t="s">
        <v>67</v>
      </c>
      <c r="B2" s="1"/>
      <c r="C2" s="1"/>
      <c r="D2" s="1"/>
      <c r="E2" s="1"/>
      <c r="F2" s="1"/>
      <c r="G2" s="1"/>
      <c r="H2" s="1"/>
      <c r="I2" s="1"/>
    </row>
    <row r="4" spans="1:9" ht="27.6" x14ac:dyDescent="0.3">
      <c r="A4" s="11" t="s">
        <v>48</v>
      </c>
      <c r="B4" s="11" t="s">
        <v>68</v>
      </c>
      <c r="C4" s="11" t="s">
        <v>69</v>
      </c>
      <c r="D4" s="11" t="s">
        <v>70</v>
      </c>
      <c r="E4" s="11" t="s">
        <v>71</v>
      </c>
      <c r="F4" s="11" t="s">
        <v>72</v>
      </c>
      <c r="G4" s="11" t="s">
        <v>73</v>
      </c>
      <c r="H4" s="11" t="s">
        <v>74</v>
      </c>
      <c r="I4" s="11" t="s">
        <v>75</v>
      </c>
    </row>
    <row r="5" spans="1:9" x14ac:dyDescent="0.3">
      <c r="A5" s="27">
        <f>IF(Holdings!A5="","",Holdings!A5)</f>
        <v>46277</v>
      </c>
      <c r="B5" s="29">
        <f>IF(Holdings!A5="","",SUMPRODUCT(Holdings!B5:F5,'Price History'!B5:F5))</f>
        <v>9999.6453999999994</v>
      </c>
      <c r="C5" s="30">
        <f>IF(B5="","",B5/Overview!$B$9-1)</f>
        <v>-3.5460000000098191E-5</v>
      </c>
      <c r="D5" s="29">
        <f>IF(Holdings!A5="","",Holdings!G5*'Price History'!G5)</f>
        <v>9996.48</v>
      </c>
      <c r="E5" s="30">
        <f>IF(D5="","",D5/Overview!$B$9-1)</f>
        <v>-3.5200000000001896E-4</v>
      </c>
      <c r="F5" s="29">
        <f>IF(B5="","",B5)</f>
        <v>9999.6453999999994</v>
      </c>
      <c r="G5" s="30">
        <f t="shared" ref="G5:G45" si="0">IF(B5="","",B5/F5-1)</f>
        <v>0</v>
      </c>
      <c r="H5" s="29">
        <f>IF(D5="","",D5)</f>
        <v>9996.48</v>
      </c>
      <c r="I5" s="30">
        <f t="shared" ref="I5:I45" si="1">IF(D5="","",D5/H5-1)</f>
        <v>0</v>
      </c>
    </row>
    <row r="6" spans="1:9" x14ac:dyDescent="0.3">
      <c r="A6" s="27" t="str">
        <f>IF(Holdings!A6="","",Holdings!A6)</f>
        <v/>
      </c>
      <c r="B6" s="29" t="str">
        <f>IF(Holdings!A6="","",SUMPRODUCT(Holdings!B6:F6,'Price History'!B6:F6))</f>
        <v/>
      </c>
      <c r="C6" s="30" t="str">
        <f>IF(B6="","",B6/Overview!$B$9-1)</f>
        <v/>
      </c>
      <c r="D6" s="29" t="str">
        <f>IF(Holdings!A6="","",Holdings!G6*'Price History'!G6)</f>
        <v/>
      </c>
      <c r="E6" s="30" t="str">
        <f>IF(D6="","",D6/Overview!$B$9-1)</f>
        <v/>
      </c>
      <c r="F6" s="29" t="str">
        <f t="shared" ref="F6:F45" si="2">IF(B6="","",MAX(B6,F5))</f>
        <v/>
      </c>
      <c r="G6" s="30" t="str">
        <f t="shared" si="0"/>
        <v/>
      </c>
      <c r="H6" s="29" t="str">
        <f t="shared" ref="H6:H45" si="3">IF(D6="","",MAX(D6,H5))</f>
        <v/>
      </c>
      <c r="I6" s="30" t="str">
        <f t="shared" si="1"/>
        <v/>
      </c>
    </row>
    <row r="7" spans="1:9" x14ac:dyDescent="0.3">
      <c r="A7" s="27" t="str">
        <f>IF(Holdings!A7="","",Holdings!A7)</f>
        <v/>
      </c>
      <c r="B7" s="29" t="str">
        <f>IF(Holdings!A7="","",SUMPRODUCT(Holdings!B7:F7,'Price History'!B7:F7))</f>
        <v/>
      </c>
      <c r="C7" s="30" t="str">
        <f>IF(B7="","",B7/Overview!$B$9-1)</f>
        <v/>
      </c>
      <c r="D7" s="29" t="str">
        <f>IF(Holdings!A7="","",Holdings!G7*'Price History'!G7)</f>
        <v/>
      </c>
      <c r="E7" s="30" t="str">
        <f>IF(D7="","",D7/Overview!$B$9-1)</f>
        <v/>
      </c>
      <c r="F7" s="29" t="str">
        <f t="shared" si="2"/>
        <v/>
      </c>
      <c r="G7" s="30" t="str">
        <f t="shared" si="0"/>
        <v/>
      </c>
      <c r="H7" s="29" t="str">
        <f t="shared" si="3"/>
        <v/>
      </c>
      <c r="I7" s="30" t="str">
        <f t="shared" si="1"/>
        <v/>
      </c>
    </row>
    <row r="8" spans="1:9" x14ac:dyDescent="0.3">
      <c r="A8" s="27" t="str">
        <f>IF(Holdings!A8="","",Holdings!A8)</f>
        <v/>
      </c>
      <c r="B8" s="29" t="str">
        <f>IF(Holdings!A8="","",SUMPRODUCT(Holdings!B8:F8,'Price History'!B8:F8))</f>
        <v/>
      </c>
      <c r="C8" s="30" t="str">
        <f>IF(B8="","",B8/Overview!$B$9-1)</f>
        <v/>
      </c>
      <c r="D8" s="29" t="str">
        <f>IF(Holdings!A8="","",Holdings!G8*'Price History'!G8)</f>
        <v/>
      </c>
      <c r="E8" s="30" t="str">
        <f>IF(D8="","",D8/Overview!$B$9-1)</f>
        <v/>
      </c>
      <c r="F8" s="29" t="str">
        <f t="shared" si="2"/>
        <v/>
      </c>
      <c r="G8" s="30" t="str">
        <f t="shared" si="0"/>
        <v/>
      </c>
      <c r="H8" s="29" t="str">
        <f t="shared" si="3"/>
        <v/>
      </c>
      <c r="I8" s="30" t="str">
        <f t="shared" si="1"/>
        <v/>
      </c>
    </row>
    <row r="9" spans="1:9" x14ac:dyDescent="0.3">
      <c r="A9" s="27" t="str">
        <f>IF(Holdings!A9="","",Holdings!A9)</f>
        <v/>
      </c>
      <c r="B9" s="29" t="str">
        <f>IF(Holdings!A9="","",SUMPRODUCT(Holdings!B9:F9,'Price History'!B9:F9))</f>
        <v/>
      </c>
      <c r="C9" s="30" t="str">
        <f>IF(B9="","",B9/Overview!$B$9-1)</f>
        <v/>
      </c>
      <c r="D9" s="29" t="str">
        <f>IF(Holdings!A9="","",Holdings!G9*'Price History'!G9)</f>
        <v/>
      </c>
      <c r="E9" s="30" t="str">
        <f>IF(D9="","",D9/Overview!$B$9-1)</f>
        <v/>
      </c>
      <c r="F9" s="29" t="str">
        <f t="shared" si="2"/>
        <v/>
      </c>
      <c r="G9" s="30" t="str">
        <f t="shared" si="0"/>
        <v/>
      </c>
      <c r="H9" s="29" t="str">
        <f t="shared" si="3"/>
        <v/>
      </c>
      <c r="I9" s="30" t="str">
        <f t="shared" si="1"/>
        <v/>
      </c>
    </row>
    <row r="10" spans="1:9" x14ac:dyDescent="0.3">
      <c r="A10" s="27" t="str">
        <f>IF(Holdings!A10="","",Holdings!A10)</f>
        <v/>
      </c>
      <c r="B10" s="29" t="str">
        <f>IF(Holdings!A10="","",SUMPRODUCT(Holdings!B10:F10,'Price History'!B10:F10))</f>
        <v/>
      </c>
      <c r="C10" s="30" t="str">
        <f>IF(B10="","",B10/Overview!$B$9-1)</f>
        <v/>
      </c>
      <c r="D10" s="29" t="str">
        <f>IF(Holdings!A10="","",Holdings!G10*'Price History'!G10)</f>
        <v/>
      </c>
      <c r="E10" s="30" t="str">
        <f>IF(D10="","",D10/Overview!$B$9-1)</f>
        <v/>
      </c>
      <c r="F10" s="29" t="str">
        <f t="shared" si="2"/>
        <v/>
      </c>
      <c r="G10" s="30" t="str">
        <f t="shared" si="0"/>
        <v/>
      </c>
      <c r="H10" s="29" t="str">
        <f t="shared" si="3"/>
        <v/>
      </c>
      <c r="I10" s="30" t="str">
        <f t="shared" si="1"/>
        <v/>
      </c>
    </row>
    <row r="11" spans="1:9" x14ac:dyDescent="0.3">
      <c r="A11" s="27" t="str">
        <f>IF(Holdings!A11="","",Holdings!A11)</f>
        <v/>
      </c>
      <c r="B11" s="29" t="str">
        <f>IF(Holdings!A11="","",SUMPRODUCT(Holdings!B11:F11,'Price History'!B11:F11))</f>
        <v/>
      </c>
      <c r="C11" s="30" t="str">
        <f>IF(B11="","",B11/Overview!$B$9-1)</f>
        <v/>
      </c>
      <c r="D11" s="29" t="str">
        <f>IF(Holdings!A11="","",Holdings!G11*'Price History'!G11)</f>
        <v/>
      </c>
      <c r="E11" s="30" t="str">
        <f>IF(D11="","",D11/Overview!$B$9-1)</f>
        <v/>
      </c>
      <c r="F11" s="29" t="str">
        <f t="shared" si="2"/>
        <v/>
      </c>
      <c r="G11" s="30" t="str">
        <f t="shared" si="0"/>
        <v/>
      </c>
      <c r="H11" s="29" t="str">
        <f t="shared" si="3"/>
        <v/>
      </c>
      <c r="I11" s="30" t="str">
        <f t="shared" si="1"/>
        <v/>
      </c>
    </row>
    <row r="12" spans="1:9" x14ac:dyDescent="0.3">
      <c r="A12" s="27" t="str">
        <f>IF(Holdings!A12="","",Holdings!A12)</f>
        <v/>
      </c>
      <c r="B12" s="29" t="str">
        <f>IF(Holdings!A12="","",SUMPRODUCT(Holdings!B12:F12,'Price History'!B12:F12))</f>
        <v/>
      </c>
      <c r="C12" s="30" t="str">
        <f>IF(B12="","",B12/Overview!$B$9-1)</f>
        <v/>
      </c>
      <c r="D12" s="29" t="str">
        <f>IF(Holdings!A12="","",Holdings!G12*'Price History'!G12)</f>
        <v/>
      </c>
      <c r="E12" s="30" t="str">
        <f>IF(D12="","",D12/Overview!$B$9-1)</f>
        <v/>
      </c>
      <c r="F12" s="29" t="str">
        <f t="shared" si="2"/>
        <v/>
      </c>
      <c r="G12" s="30" t="str">
        <f t="shared" si="0"/>
        <v/>
      </c>
      <c r="H12" s="29" t="str">
        <f t="shared" si="3"/>
        <v/>
      </c>
      <c r="I12" s="30" t="str">
        <f t="shared" si="1"/>
        <v/>
      </c>
    </row>
    <row r="13" spans="1:9" x14ac:dyDescent="0.3">
      <c r="A13" s="27" t="str">
        <f>IF(Holdings!A13="","",Holdings!A13)</f>
        <v/>
      </c>
      <c r="B13" s="29" t="str">
        <f>IF(Holdings!A13="","",SUMPRODUCT(Holdings!B13:F13,'Price History'!B13:F13))</f>
        <v/>
      </c>
      <c r="C13" s="30" t="str">
        <f>IF(B13="","",B13/Overview!$B$9-1)</f>
        <v/>
      </c>
      <c r="D13" s="29" t="str">
        <f>IF(Holdings!A13="","",Holdings!G13*'Price History'!G13)</f>
        <v/>
      </c>
      <c r="E13" s="30" t="str">
        <f>IF(D13="","",D13/Overview!$B$9-1)</f>
        <v/>
      </c>
      <c r="F13" s="29" t="str">
        <f t="shared" si="2"/>
        <v/>
      </c>
      <c r="G13" s="30" t="str">
        <f t="shared" si="0"/>
        <v/>
      </c>
      <c r="H13" s="29" t="str">
        <f t="shared" si="3"/>
        <v/>
      </c>
      <c r="I13" s="30" t="str">
        <f t="shared" si="1"/>
        <v/>
      </c>
    </row>
    <row r="14" spans="1:9" x14ac:dyDescent="0.3">
      <c r="A14" s="27" t="str">
        <f>IF(Holdings!A14="","",Holdings!A14)</f>
        <v/>
      </c>
      <c r="B14" s="29" t="str">
        <f>IF(Holdings!A14="","",SUMPRODUCT(Holdings!B14:F14,'Price History'!B14:F14))</f>
        <v/>
      </c>
      <c r="C14" s="30" t="str">
        <f>IF(B14="","",B14/Overview!$B$9-1)</f>
        <v/>
      </c>
      <c r="D14" s="29" t="str">
        <f>IF(Holdings!A14="","",Holdings!G14*'Price History'!G14)</f>
        <v/>
      </c>
      <c r="E14" s="30" t="str">
        <f>IF(D14="","",D14/Overview!$B$9-1)</f>
        <v/>
      </c>
      <c r="F14" s="29" t="str">
        <f t="shared" si="2"/>
        <v/>
      </c>
      <c r="G14" s="30" t="str">
        <f t="shared" si="0"/>
        <v/>
      </c>
      <c r="H14" s="29" t="str">
        <f t="shared" si="3"/>
        <v/>
      </c>
      <c r="I14" s="30" t="str">
        <f t="shared" si="1"/>
        <v/>
      </c>
    </row>
    <row r="15" spans="1:9" x14ac:dyDescent="0.3">
      <c r="A15" s="27" t="str">
        <f>IF(Holdings!A15="","",Holdings!A15)</f>
        <v/>
      </c>
      <c r="B15" s="29" t="str">
        <f>IF(Holdings!A15="","",SUMPRODUCT(Holdings!B15:F15,'Price History'!B15:F15))</f>
        <v/>
      </c>
      <c r="C15" s="30" t="str">
        <f>IF(B15="","",B15/Overview!$B$9-1)</f>
        <v/>
      </c>
      <c r="D15" s="29" t="str">
        <f>IF(Holdings!A15="","",Holdings!G15*'Price History'!G15)</f>
        <v/>
      </c>
      <c r="E15" s="30" t="str">
        <f>IF(D15="","",D15/Overview!$B$9-1)</f>
        <v/>
      </c>
      <c r="F15" s="29" t="str">
        <f t="shared" si="2"/>
        <v/>
      </c>
      <c r="G15" s="30" t="str">
        <f t="shared" si="0"/>
        <v/>
      </c>
      <c r="H15" s="29" t="str">
        <f t="shared" si="3"/>
        <v/>
      </c>
      <c r="I15" s="30" t="str">
        <f t="shared" si="1"/>
        <v/>
      </c>
    </row>
    <row r="16" spans="1:9" x14ac:dyDescent="0.3">
      <c r="A16" s="27" t="str">
        <f>IF(Holdings!A16="","",Holdings!A16)</f>
        <v/>
      </c>
      <c r="B16" s="29" t="str">
        <f>IF(Holdings!A16="","",SUMPRODUCT(Holdings!B16:F16,'Price History'!B16:F16))</f>
        <v/>
      </c>
      <c r="C16" s="30" t="str">
        <f>IF(B16="","",B16/Overview!$B$9-1)</f>
        <v/>
      </c>
      <c r="D16" s="29" t="str">
        <f>IF(Holdings!A16="","",Holdings!G16*'Price History'!G16)</f>
        <v/>
      </c>
      <c r="E16" s="30" t="str">
        <f>IF(D16="","",D16/Overview!$B$9-1)</f>
        <v/>
      </c>
      <c r="F16" s="29" t="str">
        <f t="shared" si="2"/>
        <v/>
      </c>
      <c r="G16" s="30" t="str">
        <f t="shared" si="0"/>
        <v/>
      </c>
      <c r="H16" s="29" t="str">
        <f t="shared" si="3"/>
        <v/>
      </c>
      <c r="I16" s="30" t="str">
        <f t="shared" si="1"/>
        <v/>
      </c>
    </row>
    <row r="17" spans="1:9" x14ac:dyDescent="0.3">
      <c r="A17" s="27" t="str">
        <f>IF(Holdings!A17="","",Holdings!A17)</f>
        <v/>
      </c>
      <c r="B17" s="29" t="str">
        <f>IF(Holdings!A17="","",SUMPRODUCT(Holdings!B17:F17,'Price History'!B17:F17))</f>
        <v/>
      </c>
      <c r="C17" s="30" t="str">
        <f>IF(B17="","",B17/Overview!$B$9-1)</f>
        <v/>
      </c>
      <c r="D17" s="29" t="str">
        <f>IF(Holdings!A17="","",Holdings!G17*'Price History'!G17)</f>
        <v/>
      </c>
      <c r="E17" s="30" t="str">
        <f>IF(D17="","",D17/Overview!$B$9-1)</f>
        <v/>
      </c>
      <c r="F17" s="29" t="str">
        <f t="shared" si="2"/>
        <v/>
      </c>
      <c r="G17" s="30" t="str">
        <f t="shared" si="0"/>
        <v/>
      </c>
      <c r="H17" s="29" t="str">
        <f t="shared" si="3"/>
        <v/>
      </c>
      <c r="I17" s="30" t="str">
        <f t="shared" si="1"/>
        <v/>
      </c>
    </row>
    <row r="18" spans="1:9" x14ac:dyDescent="0.3">
      <c r="A18" s="27" t="str">
        <f>IF(Holdings!A18="","",Holdings!A18)</f>
        <v/>
      </c>
      <c r="B18" s="29" t="str">
        <f>IF(Holdings!A18="","",SUMPRODUCT(Holdings!B18:F18,'Price History'!B18:F18))</f>
        <v/>
      </c>
      <c r="C18" s="30" t="str">
        <f>IF(B18="","",B18/Overview!$B$9-1)</f>
        <v/>
      </c>
      <c r="D18" s="29" t="str">
        <f>IF(Holdings!A18="","",Holdings!G18*'Price History'!G18)</f>
        <v/>
      </c>
      <c r="E18" s="30" t="str">
        <f>IF(D18="","",D18/Overview!$B$9-1)</f>
        <v/>
      </c>
      <c r="F18" s="29" t="str">
        <f t="shared" si="2"/>
        <v/>
      </c>
      <c r="G18" s="30" t="str">
        <f t="shared" si="0"/>
        <v/>
      </c>
      <c r="H18" s="29" t="str">
        <f t="shared" si="3"/>
        <v/>
      </c>
      <c r="I18" s="30" t="str">
        <f t="shared" si="1"/>
        <v/>
      </c>
    </row>
    <row r="19" spans="1:9" x14ac:dyDescent="0.3">
      <c r="A19" s="27" t="str">
        <f>IF(Holdings!A19="","",Holdings!A19)</f>
        <v/>
      </c>
      <c r="B19" s="29" t="str">
        <f>IF(Holdings!A19="","",SUMPRODUCT(Holdings!B19:F19,'Price History'!B19:F19))</f>
        <v/>
      </c>
      <c r="C19" s="30" t="str">
        <f>IF(B19="","",B19/Overview!$B$9-1)</f>
        <v/>
      </c>
      <c r="D19" s="29" t="str">
        <f>IF(Holdings!A19="","",Holdings!G19*'Price History'!G19)</f>
        <v/>
      </c>
      <c r="E19" s="30" t="str">
        <f>IF(D19="","",D19/Overview!$B$9-1)</f>
        <v/>
      </c>
      <c r="F19" s="29" t="str">
        <f t="shared" si="2"/>
        <v/>
      </c>
      <c r="G19" s="30" t="str">
        <f t="shared" si="0"/>
        <v/>
      </c>
      <c r="H19" s="29" t="str">
        <f t="shared" si="3"/>
        <v/>
      </c>
      <c r="I19" s="30" t="str">
        <f t="shared" si="1"/>
        <v/>
      </c>
    </row>
    <row r="20" spans="1:9" x14ac:dyDescent="0.3">
      <c r="A20" s="27" t="str">
        <f>IF(Holdings!A20="","",Holdings!A20)</f>
        <v/>
      </c>
      <c r="B20" s="29" t="str">
        <f>IF(Holdings!A20="","",SUMPRODUCT(Holdings!B20:F20,'Price History'!B20:F20))</f>
        <v/>
      </c>
      <c r="C20" s="30" t="str">
        <f>IF(B20="","",B20/Overview!$B$9-1)</f>
        <v/>
      </c>
      <c r="D20" s="29" t="str">
        <f>IF(Holdings!A20="","",Holdings!G20*'Price History'!G20)</f>
        <v/>
      </c>
      <c r="E20" s="30" t="str">
        <f>IF(D20="","",D20/Overview!$B$9-1)</f>
        <v/>
      </c>
      <c r="F20" s="29" t="str">
        <f t="shared" si="2"/>
        <v/>
      </c>
      <c r="G20" s="30" t="str">
        <f t="shared" si="0"/>
        <v/>
      </c>
      <c r="H20" s="29" t="str">
        <f t="shared" si="3"/>
        <v/>
      </c>
      <c r="I20" s="30" t="str">
        <f t="shared" si="1"/>
        <v/>
      </c>
    </row>
    <row r="21" spans="1:9" x14ac:dyDescent="0.3">
      <c r="A21" s="27" t="str">
        <f>IF(Holdings!A21="","",Holdings!A21)</f>
        <v/>
      </c>
      <c r="B21" s="29" t="str">
        <f>IF(Holdings!A21="","",SUMPRODUCT(Holdings!B21:F21,'Price History'!B21:F21))</f>
        <v/>
      </c>
      <c r="C21" s="30" t="str">
        <f>IF(B21="","",B21/Overview!$B$9-1)</f>
        <v/>
      </c>
      <c r="D21" s="29" t="str">
        <f>IF(Holdings!A21="","",Holdings!G21*'Price History'!G21)</f>
        <v/>
      </c>
      <c r="E21" s="30" t="str">
        <f>IF(D21="","",D21/Overview!$B$9-1)</f>
        <v/>
      </c>
      <c r="F21" s="29" t="str">
        <f t="shared" si="2"/>
        <v/>
      </c>
      <c r="G21" s="30" t="str">
        <f t="shared" si="0"/>
        <v/>
      </c>
      <c r="H21" s="29" t="str">
        <f t="shared" si="3"/>
        <v/>
      </c>
      <c r="I21" s="30" t="str">
        <f t="shared" si="1"/>
        <v/>
      </c>
    </row>
    <row r="22" spans="1:9" x14ac:dyDescent="0.3">
      <c r="A22" s="27" t="str">
        <f>IF(Holdings!A22="","",Holdings!A22)</f>
        <v/>
      </c>
      <c r="B22" s="29" t="str">
        <f>IF(Holdings!A22="","",SUMPRODUCT(Holdings!B22:F22,'Price History'!B22:F22))</f>
        <v/>
      </c>
      <c r="C22" s="30" t="str">
        <f>IF(B22="","",B22/Overview!$B$9-1)</f>
        <v/>
      </c>
      <c r="D22" s="29" t="str">
        <f>IF(Holdings!A22="","",Holdings!G22*'Price History'!G22)</f>
        <v/>
      </c>
      <c r="E22" s="30" t="str">
        <f>IF(D22="","",D22/Overview!$B$9-1)</f>
        <v/>
      </c>
      <c r="F22" s="29" t="str">
        <f t="shared" si="2"/>
        <v/>
      </c>
      <c r="G22" s="30" t="str">
        <f t="shared" si="0"/>
        <v/>
      </c>
      <c r="H22" s="29" t="str">
        <f t="shared" si="3"/>
        <v/>
      </c>
      <c r="I22" s="30" t="str">
        <f t="shared" si="1"/>
        <v/>
      </c>
    </row>
    <row r="23" spans="1:9" x14ac:dyDescent="0.3">
      <c r="A23" s="27" t="str">
        <f>IF(Holdings!A23="","",Holdings!A23)</f>
        <v/>
      </c>
      <c r="B23" s="29" t="str">
        <f>IF(Holdings!A23="","",SUMPRODUCT(Holdings!B23:F23,'Price History'!B23:F23))</f>
        <v/>
      </c>
      <c r="C23" s="30" t="str">
        <f>IF(B23="","",B23/Overview!$B$9-1)</f>
        <v/>
      </c>
      <c r="D23" s="29" t="str">
        <f>IF(Holdings!A23="","",Holdings!G23*'Price History'!G23)</f>
        <v/>
      </c>
      <c r="E23" s="30" t="str">
        <f>IF(D23="","",D23/Overview!$B$9-1)</f>
        <v/>
      </c>
      <c r="F23" s="29" t="str">
        <f t="shared" si="2"/>
        <v/>
      </c>
      <c r="G23" s="30" t="str">
        <f t="shared" si="0"/>
        <v/>
      </c>
      <c r="H23" s="29" t="str">
        <f t="shared" si="3"/>
        <v/>
      </c>
      <c r="I23" s="30" t="str">
        <f t="shared" si="1"/>
        <v/>
      </c>
    </row>
    <row r="24" spans="1:9" x14ac:dyDescent="0.3">
      <c r="A24" s="27" t="str">
        <f>IF(Holdings!A24="","",Holdings!A24)</f>
        <v/>
      </c>
      <c r="B24" s="29" t="str">
        <f>IF(Holdings!A24="","",SUMPRODUCT(Holdings!B24:F24,'Price History'!B24:F24))</f>
        <v/>
      </c>
      <c r="C24" s="30" t="str">
        <f>IF(B24="","",B24/Overview!$B$9-1)</f>
        <v/>
      </c>
      <c r="D24" s="29" t="str">
        <f>IF(Holdings!A24="","",Holdings!G24*'Price History'!G24)</f>
        <v/>
      </c>
      <c r="E24" s="30" t="str">
        <f>IF(D24="","",D24/Overview!$B$9-1)</f>
        <v/>
      </c>
      <c r="F24" s="29" t="str">
        <f t="shared" si="2"/>
        <v/>
      </c>
      <c r="G24" s="30" t="str">
        <f t="shared" si="0"/>
        <v/>
      </c>
      <c r="H24" s="29" t="str">
        <f t="shared" si="3"/>
        <v/>
      </c>
      <c r="I24" s="30" t="str">
        <f t="shared" si="1"/>
        <v/>
      </c>
    </row>
    <row r="25" spans="1:9" x14ac:dyDescent="0.3">
      <c r="A25" s="27" t="str">
        <f>IF(Holdings!A25="","",Holdings!A25)</f>
        <v/>
      </c>
      <c r="B25" s="29" t="str">
        <f>IF(Holdings!A25="","",SUMPRODUCT(Holdings!B25:F25,'Price History'!B25:F25))</f>
        <v/>
      </c>
      <c r="C25" s="30" t="str">
        <f>IF(B25="","",B25/Overview!$B$9-1)</f>
        <v/>
      </c>
      <c r="D25" s="29" t="str">
        <f>IF(Holdings!A25="","",Holdings!G25*'Price History'!G25)</f>
        <v/>
      </c>
      <c r="E25" s="30" t="str">
        <f>IF(D25="","",D25/Overview!$B$9-1)</f>
        <v/>
      </c>
      <c r="F25" s="29" t="str">
        <f t="shared" si="2"/>
        <v/>
      </c>
      <c r="G25" s="30" t="str">
        <f t="shared" si="0"/>
        <v/>
      </c>
      <c r="H25" s="29" t="str">
        <f t="shared" si="3"/>
        <v/>
      </c>
      <c r="I25" s="30" t="str">
        <f t="shared" si="1"/>
        <v/>
      </c>
    </row>
    <row r="26" spans="1:9" x14ac:dyDescent="0.3">
      <c r="A26" s="27" t="str">
        <f>IF(Holdings!A26="","",Holdings!A26)</f>
        <v/>
      </c>
      <c r="B26" s="29" t="str">
        <f>IF(Holdings!A26="","",SUMPRODUCT(Holdings!B26:F26,'Price History'!B26:F26))</f>
        <v/>
      </c>
      <c r="C26" s="30" t="str">
        <f>IF(B26="","",B26/Overview!$B$9-1)</f>
        <v/>
      </c>
      <c r="D26" s="29" t="str">
        <f>IF(Holdings!A26="","",Holdings!G26*'Price History'!G26)</f>
        <v/>
      </c>
      <c r="E26" s="30" t="str">
        <f>IF(D26="","",D26/Overview!$B$9-1)</f>
        <v/>
      </c>
      <c r="F26" s="29" t="str">
        <f t="shared" si="2"/>
        <v/>
      </c>
      <c r="G26" s="30" t="str">
        <f t="shared" si="0"/>
        <v/>
      </c>
      <c r="H26" s="29" t="str">
        <f t="shared" si="3"/>
        <v/>
      </c>
      <c r="I26" s="30" t="str">
        <f t="shared" si="1"/>
        <v/>
      </c>
    </row>
    <row r="27" spans="1:9" x14ac:dyDescent="0.3">
      <c r="A27" s="27" t="str">
        <f>IF(Holdings!A27="","",Holdings!A27)</f>
        <v/>
      </c>
      <c r="B27" s="29" t="str">
        <f>IF(Holdings!A27="","",SUMPRODUCT(Holdings!B27:F27,'Price History'!B27:F27))</f>
        <v/>
      </c>
      <c r="C27" s="30" t="str">
        <f>IF(B27="","",B27/Overview!$B$9-1)</f>
        <v/>
      </c>
      <c r="D27" s="29" t="str">
        <f>IF(Holdings!A27="","",Holdings!G27*'Price History'!G27)</f>
        <v/>
      </c>
      <c r="E27" s="30" t="str">
        <f>IF(D27="","",D27/Overview!$B$9-1)</f>
        <v/>
      </c>
      <c r="F27" s="29" t="str">
        <f t="shared" si="2"/>
        <v/>
      </c>
      <c r="G27" s="30" t="str">
        <f t="shared" si="0"/>
        <v/>
      </c>
      <c r="H27" s="29" t="str">
        <f t="shared" si="3"/>
        <v/>
      </c>
      <c r="I27" s="30" t="str">
        <f t="shared" si="1"/>
        <v/>
      </c>
    </row>
    <row r="28" spans="1:9" x14ac:dyDescent="0.3">
      <c r="A28" s="27" t="str">
        <f>IF(Holdings!A28="","",Holdings!A28)</f>
        <v/>
      </c>
      <c r="B28" s="29" t="str">
        <f>IF(Holdings!A28="","",SUMPRODUCT(Holdings!B28:F28,'Price History'!B28:F28))</f>
        <v/>
      </c>
      <c r="C28" s="30" t="str">
        <f>IF(B28="","",B28/Overview!$B$9-1)</f>
        <v/>
      </c>
      <c r="D28" s="29" t="str">
        <f>IF(Holdings!A28="","",Holdings!G28*'Price History'!G28)</f>
        <v/>
      </c>
      <c r="E28" s="30" t="str">
        <f>IF(D28="","",D28/Overview!$B$9-1)</f>
        <v/>
      </c>
      <c r="F28" s="29" t="str">
        <f t="shared" si="2"/>
        <v/>
      </c>
      <c r="G28" s="30" t="str">
        <f t="shared" si="0"/>
        <v/>
      </c>
      <c r="H28" s="29" t="str">
        <f t="shared" si="3"/>
        <v/>
      </c>
      <c r="I28" s="30" t="str">
        <f t="shared" si="1"/>
        <v/>
      </c>
    </row>
    <row r="29" spans="1:9" x14ac:dyDescent="0.3">
      <c r="A29" s="27" t="str">
        <f>IF(Holdings!A29="","",Holdings!A29)</f>
        <v/>
      </c>
      <c r="B29" s="29" t="str">
        <f>IF(Holdings!A29="","",SUMPRODUCT(Holdings!B29:F29,'Price History'!B29:F29))</f>
        <v/>
      </c>
      <c r="C29" s="30" t="str">
        <f>IF(B29="","",B29/Overview!$B$9-1)</f>
        <v/>
      </c>
      <c r="D29" s="29" t="str">
        <f>IF(Holdings!A29="","",Holdings!G29*'Price History'!G29)</f>
        <v/>
      </c>
      <c r="E29" s="30" t="str">
        <f>IF(D29="","",D29/Overview!$B$9-1)</f>
        <v/>
      </c>
      <c r="F29" s="29" t="str">
        <f t="shared" si="2"/>
        <v/>
      </c>
      <c r="G29" s="30" t="str">
        <f t="shared" si="0"/>
        <v/>
      </c>
      <c r="H29" s="29" t="str">
        <f t="shared" si="3"/>
        <v/>
      </c>
      <c r="I29" s="30" t="str">
        <f t="shared" si="1"/>
        <v/>
      </c>
    </row>
    <row r="30" spans="1:9" x14ac:dyDescent="0.3">
      <c r="A30" s="27" t="str">
        <f>IF(Holdings!A30="","",Holdings!A30)</f>
        <v/>
      </c>
      <c r="B30" s="29" t="str">
        <f>IF(Holdings!A30="","",SUMPRODUCT(Holdings!B30:F30,'Price History'!B30:F30))</f>
        <v/>
      </c>
      <c r="C30" s="30" t="str">
        <f>IF(B30="","",B30/Overview!$B$9-1)</f>
        <v/>
      </c>
      <c r="D30" s="29" t="str">
        <f>IF(Holdings!A30="","",Holdings!G30*'Price History'!G30)</f>
        <v/>
      </c>
      <c r="E30" s="30" t="str">
        <f>IF(D30="","",D30/Overview!$B$9-1)</f>
        <v/>
      </c>
      <c r="F30" s="29" t="str">
        <f t="shared" si="2"/>
        <v/>
      </c>
      <c r="G30" s="30" t="str">
        <f t="shared" si="0"/>
        <v/>
      </c>
      <c r="H30" s="29" t="str">
        <f t="shared" si="3"/>
        <v/>
      </c>
      <c r="I30" s="30" t="str">
        <f t="shared" si="1"/>
        <v/>
      </c>
    </row>
    <row r="31" spans="1:9" x14ac:dyDescent="0.3">
      <c r="A31" s="27" t="str">
        <f>IF(Holdings!A31="","",Holdings!A31)</f>
        <v/>
      </c>
      <c r="B31" s="29" t="str">
        <f>IF(Holdings!A31="","",SUMPRODUCT(Holdings!B31:F31,'Price History'!B31:F31))</f>
        <v/>
      </c>
      <c r="C31" s="30" t="str">
        <f>IF(B31="","",B31/Overview!$B$9-1)</f>
        <v/>
      </c>
      <c r="D31" s="29" t="str">
        <f>IF(Holdings!A31="","",Holdings!G31*'Price History'!G31)</f>
        <v/>
      </c>
      <c r="E31" s="30" t="str">
        <f>IF(D31="","",D31/Overview!$B$9-1)</f>
        <v/>
      </c>
      <c r="F31" s="29" t="str">
        <f t="shared" si="2"/>
        <v/>
      </c>
      <c r="G31" s="30" t="str">
        <f t="shared" si="0"/>
        <v/>
      </c>
      <c r="H31" s="29" t="str">
        <f t="shared" si="3"/>
        <v/>
      </c>
      <c r="I31" s="30" t="str">
        <f t="shared" si="1"/>
        <v/>
      </c>
    </row>
    <row r="32" spans="1:9" x14ac:dyDescent="0.3">
      <c r="A32" s="27" t="str">
        <f>IF(Holdings!A32="","",Holdings!A32)</f>
        <v/>
      </c>
      <c r="B32" s="29" t="str">
        <f>IF(Holdings!A32="","",SUMPRODUCT(Holdings!B32:F32,'Price History'!B32:F32))</f>
        <v/>
      </c>
      <c r="C32" s="30" t="str">
        <f>IF(B32="","",B32/Overview!$B$9-1)</f>
        <v/>
      </c>
      <c r="D32" s="29" t="str">
        <f>IF(Holdings!A32="","",Holdings!G32*'Price History'!G32)</f>
        <v/>
      </c>
      <c r="E32" s="30" t="str">
        <f>IF(D32="","",D32/Overview!$B$9-1)</f>
        <v/>
      </c>
      <c r="F32" s="29" t="str">
        <f t="shared" si="2"/>
        <v/>
      </c>
      <c r="G32" s="30" t="str">
        <f t="shared" si="0"/>
        <v/>
      </c>
      <c r="H32" s="29" t="str">
        <f t="shared" si="3"/>
        <v/>
      </c>
      <c r="I32" s="30" t="str">
        <f t="shared" si="1"/>
        <v/>
      </c>
    </row>
    <row r="33" spans="1:9" x14ac:dyDescent="0.3">
      <c r="A33" s="27" t="str">
        <f>IF(Holdings!A33="","",Holdings!A33)</f>
        <v/>
      </c>
      <c r="B33" s="29" t="str">
        <f>IF(Holdings!A33="","",SUMPRODUCT(Holdings!B33:F33,'Price History'!B33:F33))</f>
        <v/>
      </c>
      <c r="C33" s="30" t="str">
        <f>IF(B33="","",B33/Overview!$B$9-1)</f>
        <v/>
      </c>
      <c r="D33" s="29" t="str">
        <f>IF(Holdings!A33="","",Holdings!G33*'Price History'!G33)</f>
        <v/>
      </c>
      <c r="E33" s="30" t="str">
        <f>IF(D33="","",D33/Overview!$B$9-1)</f>
        <v/>
      </c>
      <c r="F33" s="29" t="str">
        <f t="shared" si="2"/>
        <v/>
      </c>
      <c r="G33" s="30" t="str">
        <f t="shared" si="0"/>
        <v/>
      </c>
      <c r="H33" s="29" t="str">
        <f t="shared" si="3"/>
        <v/>
      </c>
      <c r="I33" s="30" t="str">
        <f t="shared" si="1"/>
        <v/>
      </c>
    </row>
    <row r="34" spans="1:9" x14ac:dyDescent="0.3">
      <c r="A34" s="27" t="str">
        <f>IF(Holdings!A34="","",Holdings!A34)</f>
        <v/>
      </c>
      <c r="B34" s="29" t="str">
        <f>IF(Holdings!A34="","",SUMPRODUCT(Holdings!B34:F34,'Price History'!B34:F34))</f>
        <v/>
      </c>
      <c r="C34" s="30" t="str">
        <f>IF(B34="","",B34/Overview!$B$9-1)</f>
        <v/>
      </c>
      <c r="D34" s="29" t="str">
        <f>IF(Holdings!A34="","",Holdings!G34*'Price History'!G34)</f>
        <v/>
      </c>
      <c r="E34" s="30" t="str">
        <f>IF(D34="","",D34/Overview!$B$9-1)</f>
        <v/>
      </c>
      <c r="F34" s="29" t="str">
        <f t="shared" si="2"/>
        <v/>
      </c>
      <c r="G34" s="30" t="str">
        <f t="shared" si="0"/>
        <v/>
      </c>
      <c r="H34" s="29" t="str">
        <f t="shared" si="3"/>
        <v/>
      </c>
      <c r="I34" s="30" t="str">
        <f t="shared" si="1"/>
        <v/>
      </c>
    </row>
    <row r="35" spans="1:9" x14ac:dyDescent="0.3">
      <c r="A35" s="27" t="str">
        <f>IF(Holdings!A35="","",Holdings!A35)</f>
        <v/>
      </c>
      <c r="B35" s="29" t="str">
        <f>IF(Holdings!A35="","",SUMPRODUCT(Holdings!B35:F35,'Price History'!B35:F35))</f>
        <v/>
      </c>
      <c r="C35" s="30" t="str">
        <f>IF(B35="","",B35/Overview!$B$9-1)</f>
        <v/>
      </c>
      <c r="D35" s="29" t="str">
        <f>IF(Holdings!A35="","",Holdings!G35*'Price History'!G35)</f>
        <v/>
      </c>
      <c r="E35" s="30" t="str">
        <f>IF(D35="","",D35/Overview!$B$9-1)</f>
        <v/>
      </c>
      <c r="F35" s="29" t="str">
        <f t="shared" si="2"/>
        <v/>
      </c>
      <c r="G35" s="30" t="str">
        <f t="shared" si="0"/>
        <v/>
      </c>
      <c r="H35" s="29" t="str">
        <f t="shared" si="3"/>
        <v/>
      </c>
      <c r="I35" s="30" t="str">
        <f t="shared" si="1"/>
        <v/>
      </c>
    </row>
    <row r="36" spans="1:9" x14ac:dyDescent="0.3">
      <c r="A36" s="27" t="str">
        <f>IF(Holdings!A36="","",Holdings!A36)</f>
        <v/>
      </c>
      <c r="B36" s="29" t="str">
        <f>IF(Holdings!A36="","",SUMPRODUCT(Holdings!B36:F36,'Price History'!B36:F36))</f>
        <v/>
      </c>
      <c r="C36" s="30" t="str">
        <f>IF(B36="","",B36/Overview!$B$9-1)</f>
        <v/>
      </c>
      <c r="D36" s="29" t="str">
        <f>IF(Holdings!A36="","",Holdings!G36*'Price History'!G36)</f>
        <v/>
      </c>
      <c r="E36" s="30" t="str">
        <f>IF(D36="","",D36/Overview!$B$9-1)</f>
        <v/>
      </c>
      <c r="F36" s="29" t="str">
        <f t="shared" si="2"/>
        <v/>
      </c>
      <c r="G36" s="30" t="str">
        <f t="shared" si="0"/>
        <v/>
      </c>
      <c r="H36" s="29" t="str">
        <f t="shared" si="3"/>
        <v/>
      </c>
      <c r="I36" s="30" t="str">
        <f t="shared" si="1"/>
        <v/>
      </c>
    </row>
    <row r="37" spans="1:9" x14ac:dyDescent="0.3">
      <c r="A37" s="27" t="str">
        <f>IF(Holdings!A37="","",Holdings!A37)</f>
        <v/>
      </c>
      <c r="B37" s="29" t="str">
        <f>IF(Holdings!A37="","",SUMPRODUCT(Holdings!B37:F37,'Price History'!B37:F37))</f>
        <v/>
      </c>
      <c r="C37" s="30" t="str">
        <f>IF(B37="","",B37/Overview!$B$9-1)</f>
        <v/>
      </c>
      <c r="D37" s="29" t="str">
        <f>IF(Holdings!A37="","",Holdings!G37*'Price History'!G37)</f>
        <v/>
      </c>
      <c r="E37" s="30" t="str">
        <f>IF(D37="","",D37/Overview!$B$9-1)</f>
        <v/>
      </c>
      <c r="F37" s="29" t="str">
        <f t="shared" si="2"/>
        <v/>
      </c>
      <c r="G37" s="30" t="str">
        <f t="shared" si="0"/>
        <v/>
      </c>
      <c r="H37" s="29" t="str">
        <f t="shared" si="3"/>
        <v/>
      </c>
      <c r="I37" s="30" t="str">
        <f t="shared" si="1"/>
        <v/>
      </c>
    </row>
    <row r="38" spans="1:9" x14ac:dyDescent="0.3">
      <c r="A38" s="27" t="str">
        <f>IF(Holdings!A38="","",Holdings!A38)</f>
        <v/>
      </c>
      <c r="B38" s="29" t="str">
        <f>IF(Holdings!A38="","",SUMPRODUCT(Holdings!B38:F38,'Price History'!B38:F38))</f>
        <v/>
      </c>
      <c r="C38" s="30" t="str">
        <f>IF(B38="","",B38/Overview!$B$9-1)</f>
        <v/>
      </c>
      <c r="D38" s="29" t="str">
        <f>IF(Holdings!A38="","",Holdings!G38*'Price History'!G38)</f>
        <v/>
      </c>
      <c r="E38" s="30" t="str">
        <f>IF(D38="","",D38/Overview!$B$9-1)</f>
        <v/>
      </c>
      <c r="F38" s="29" t="str">
        <f t="shared" si="2"/>
        <v/>
      </c>
      <c r="G38" s="30" t="str">
        <f t="shared" si="0"/>
        <v/>
      </c>
      <c r="H38" s="29" t="str">
        <f t="shared" si="3"/>
        <v/>
      </c>
      <c r="I38" s="30" t="str">
        <f t="shared" si="1"/>
        <v/>
      </c>
    </row>
    <row r="39" spans="1:9" x14ac:dyDescent="0.3">
      <c r="A39" s="27" t="str">
        <f>IF(Holdings!A39="","",Holdings!A39)</f>
        <v/>
      </c>
      <c r="B39" s="29" t="str">
        <f>IF(Holdings!A39="","",SUMPRODUCT(Holdings!B39:F39,'Price History'!B39:F39))</f>
        <v/>
      </c>
      <c r="C39" s="30" t="str">
        <f>IF(B39="","",B39/Overview!$B$9-1)</f>
        <v/>
      </c>
      <c r="D39" s="29" t="str">
        <f>IF(Holdings!A39="","",Holdings!G39*'Price History'!G39)</f>
        <v/>
      </c>
      <c r="E39" s="30" t="str">
        <f>IF(D39="","",D39/Overview!$B$9-1)</f>
        <v/>
      </c>
      <c r="F39" s="29" t="str">
        <f t="shared" si="2"/>
        <v/>
      </c>
      <c r="G39" s="30" t="str">
        <f t="shared" si="0"/>
        <v/>
      </c>
      <c r="H39" s="29" t="str">
        <f t="shared" si="3"/>
        <v/>
      </c>
      <c r="I39" s="30" t="str">
        <f t="shared" si="1"/>
        <v/>
      </c>
    </row>
    <row r="40" spans="1:9" x14ac:dyDescent="0.3">
      <c r="A40" s="27" t="str">
        <f>IF(Holdings!A40="","",Holdings!A40)</f>
        <v/>
      </c>
      <c r="B40" s="29" t="str">
        <f>IF(Holdings!A40="","",SUMPRODUCT(Holdings!B40:F40,'Price History'!B40:F40))</f>
        <v/>
      </c>
      <c r="C40" s="30" t="str">
        <f>IF(B40="","",B40/Overview!$B$9-1)</f>
        <v/>
      </c>
      <c r="D40" s="29" t="str">
        <f>IF(Holdings!A40="","",Holdings!G40*'Price History'!G40)</f>
        <v/>
      </c>
      <c r="E40" s="30" t="str">
        <f>IF(D40="","",D40/Overview!$B$9-1)</f>
        <v/>
      </c>
      <c r="F40" s="29" t="str">
        <f t="shared" si="2"/>
        <v/>
      </c>
      <c r="G40" s="30" t="str">
        <f t="shared" si="0"/>
        <v/>
      </c>
      <c r="H40" s="29" t="str">
        <f t="shared" si="3"/>
        <v/>
      </c>
      <c r="I40" s="30" t="str">
        <f t="shared" si="1"/>
        <v/>
      </c>
    </row>
    <row r="41" spans="1:9" x14ac:dyDescent="0.3">
      <c r="A41" s="27" t="str">
        <f>IF(Holdings!A41="","",Holdings!A41)</f>
        <v/>
      </c>
      <c r="B41" s="29" t="str">
        <f>IF(Holdings!A41="","",SUMPRODUCT(Holdings!B41:F41,'Price History'!B41:F41))</f>
        <v/>
      </c>
      <c r="C41" s="30" t="str">
        <f>IF(B41="","",B41/Overview!$B$9-1)</f>
        <v/>
      </c>
      <c r="D41" s="29" t="str">
        <f>IF(Holdings!A41="","",Holdings!G41*'Price History'!G41)</f>
        <v/>
      </c>
      <c r="E41" s="30" t="str">
        <f>IF(D41="","",D41/Overview!$B$9-1)</f>
        <v/>
      </c>
      <c r="F41" s="29" t="str">
        <f t="shared" si="2"/>
        <v/>
      </c>
      <c r="G41" s="30" t="str">
        <f t="shared" si="0"/>
        <v/>
      </c>
      <c r="H41" s="29" t="str">
        <f t="shared" si="3"/>
        <v/>
      </c>
      <c r="I41" s="30" t="str">
        <f t="shared" si="1"/>
        <v/>
      </c>
    </row>
    <row r="42" spans="1:9" x14ac:dyDescent="0.3">
      <c r="A42" s="27" t="str">
        <f>IF(Holdings!A42="","",Holdings!A42)</f>
        <v/>
      </c>
      <c r="B42" s="29" t="str">
        <f>IF(Holdings!A42="","",SUMPRODUCT(Holdings!B42:F42,'Price History'!B42:F42))</f>
        <v/>
      </c>
      <c r="C42" s="30" t="str">
        <f>IF(B42="","",B42/Overview!$B$9-1)</f>
        <v/>
      </c>
      <c r="D42" s="29" t="str">
        <f>IF(Holdings!A42="","",Holdings!G42*'Price History'!G42)</f>
        <v/>
      </c>
      <c r="E42" s="30" t="str">
        <f>IF(D42="","",D42/Overview!$B$9-1)</f>
        <v/>
      </c>
      <c r="F42" s="29" t="str">
        <f t="shared" si="2"/>
        <v/>
      </c>
      <c r="G42" s="30" t="str">
        <f t="shared" si="0"/>
        <v/>
      </c>
      <c r="H42" s="29" t="str">
        <f t="shared" si="3"/>
        <v/>
      </c>
      <c r="I42" s="30" t="str">
        <f t="shared" si="1"/>
        <v/>
      </c>
    </row>
    <row r="43" spans="1:9" x14ac:dyDescent="0.3">
      <c r="A43" s="27" t="str">
        <f>IF(Holdings!A43="","",Holdings!A43)</f>
        <v/>
      </c>
      <c r="B43" s="29" t="str">
        <f>IF(Holdings!A43="","",SUMPRODUCT(Holdings!B43:F43,'Price History'!B43:F43))</f>
        <v/>
      </c>
      <c r="C43" s="30" t="str">
        <f>IF(B43="","",B43/Overview!$B$9-1)</f>
        <v/>
      </c>
      <c r="D43" s="29" t="str">
        <f>IF(Holdings!A43="","",Holdings!G43*'Price History'!G43)</f>
        <v/>
      </c>
      <c r="E43" s="30" t="str">
        <f>IF(D43="","",D43/Overview!$B$9-1)</f>
        <v/>
      </c>
      <c r="F43" s="29" t="str">
        <f t="shared" si="2"/>
        <v/>
      </c>
      <c r="G43" s="30" t="str">
        <f t="shared" si="0"/>
        <v/>
      </c>
      <c r="H43" s="29" t="str">
        <f t="shared" si="3"/>
        <v/>
      </c>
      <c r="I43" s="30" t="str">
        <f t="shared" si="1"/>
        <v/>
      </c>
    </row>
    <row r="44" spans="1:9" x14ac:dyDescent="0.3">
      <c r="A44" s="27" t="str">
        <f>IF(Holdings!A44="","",Holdings!A44)</f>
        <v/>
      </c>
      <c r="B44" s="29" t="str">
        <f>IF(Holdings!A44="","",SUMPRODUCT(Holdings!B44:F44,'Price History'!B44:F44))</f>
        <v/>
      </c>
      <c r="C44" s="30" t="str">
        <f>IF(B44="","",B44/Overview!$B$9-1)</f>
        <v/>
      </c>
      <c r="D44" s="29" t="str">
        <f>IF(Holdings!A44="","",Holdings!G44*'Price History'!G44)</f>
        <v/>
      </c>
      <c r="E44" s="30" t="str">
        <f>IF(D44="","",D44/Overview!$B$9-1)</f>
        <v/>
      </c>
      <c r="F44" s="29" t="str">
        <f t="shared" si="2"/>
        <v/>
      </c>
      <c r="G44" s="30" t="str">
        <f t="shared" si="0"/>
        <v/>
      </c>
      <c r="H44" s="29" t="str">
        <f t="shared" si="3"/>
        <v/>
      </c>
      <c r="I44" s="30" t="str">
        <f t="shared" si="1"/>
        <v/>
      </c>
    </row>
    <row r="45" spans="1:9" x14ac:dyDescent="0.3">
      <c r="A45" s="27" t="str">
        <f>IF(Holdings!A45="","",Holdings!A45)</f>
        <v/>
      </c>
      <c r="B45" s="29" t="str">
        <f>IF(Holdings!A45="","",SUMPRODUCT(Holdings!B45:F45,'Price History'!B45:F45))</f>
        <v/>
      </c>
      <c r="C45" s="30" t="str">
        <f>IF(B45="","",B45/Overview!$B$9-1)</f>
        <v/>
      </c>
      <c r="D45" s="29" t="str">
        <f>IF(Holdings!A45="","",Holdings!G45*'Price History'!G45)</f>
        <v/>
      </c>
      <c r="E45" s="30" t="str">
        <f>IF(D45="","",D45/Overview!$B$9-1)</f>
        <v/>
      </c>
      <c r="F45" s="29" t="str">
        <f t="shared" si="2"/>
        <v/>
      </c>
      <c r="G45" s="30" t="str">
        <f t="shared" si="0"/>
        <v/>
      </c>
      <c r="H45" s="29" t="str">
        <f t="shared" si="3"/>
        <v/>
      </c>
      <c r="I45" s="30" t="str">
        <f t="shared" si="1"/>
        <v/>
      </c>
    </row>
    <row r="48" spans="1:9" ht="15.6" x14ac:dyDescent="0.3">
      <c r="A48" s="4" t="s">
        <v>76</v>
      </c>
    </row>
    <row r="49" spans="1:6" ht="27.6" x14ac:dyDescent="0.3">
      <c r="A49" s="11" t="s">
        <v>77</v>
      </c>
      <c r="B49" s="11" t="s">
        <v>78</v>
      </c>
      <c r="C49" s="11" t="s">
        <v>79</v>
      </c>
    </row>
    <row r="50" spans="1:6" x14ac:dyDescent="0.3">
      <c r="A50" s="12" t="s">
        <v>80</v>
      </c>
      <c r="B50" s="31">
        <f>IFERROR(INDEX(B5:B45,Overview!$J$14)/Overview!$B$9-1,"")</f>
        <v>-3.5460000000098191E-5</v>
      </c>
      <c r="C50" s="31">
        <f>IFERROR(INDEX(D5:D45,Overview!$J$14)/Overview!$B$9-1,"")</f>
        <v>-3.5200000000001896E-4</v>
      </c>
    </row>
    <row r="51" spans="1:6" x14ac:dyDescent="0.3">
      <c r="A51" s="12" t="s">
        <v>81</v>
      </c>
      <c r="B51" s="31">
        <f>IFERROR(IF(INDEX(A5:A45,Overview!$J$14)=Overview!$B$10,"n/a (same day)",(INDEX(B5:B45,Overview!$J$14)/Overview!$B$9)^(365/(INDEX(A5:A45,Overview!$J$14)-Overview!$B$10))-1),"")</f>
        <v>1.3027254337967253E-2</v>
      </c>
      <c r="C51" s="31">
        <f>IFERROR(IF(INDEX(A5:A45,Overview!$J$14)=Overview!$B$10,"n/a (same day)",(INDEX(D5:D45,Overview!$J$14)/Overview!$B$9)^(365/(INDEX(A5:A45,Overview!$J$14)-Overview!$B$10))-1),"")</f>
        <v>0.13712439803770904</v>
      </c>
    </row>
    <row r="52" spans="1:6" x14ac:dyDescent="0.3">
      <c r="A52" s="12" t="s">
        <v>82</v>
      </c>
      <c r="B52" s="31">
        <f>IFERROR(MIN(G5:G45),"")</f>
        <v>0</v>
      </c>
      <c r="C52" s="31">
        <f>IFERROR(MIN(I5:I45),"")</f>
        <v>0</v>
      </c>
    </row>
    <row r="53" spans="1:6" x14ac:dyDescent="0.3">
      <c r="A53" s="12" t="s">
        <v>83</v>
      </c>
      <c r="B53" s="16" t="str">
        <f>IFERROR(STDEV(C5:C45),"n/a (need 2+ data points)")</f>
        <v>n/a (need 2+ data points)</v>
      </c>
      <c r="C53" s="16" t="str">
        <f>IFERROR(STDEV(E5:E45),"n/a (need 2+ data points)")</f>
        <v>n/a (need 2+ data points)</v>
      </c>
    </row>
    <row r="54" spans="1:6" x14ac:dyDescent="0.3">
      <c r="A54" s="12" t="s">
        <v>84</v>
      </c>
      <c r="B54" s="31">
        <f>IFERROR(B50-C50,"")</f>
        <v>3.1653999999992077E-4</v>
      </c>
      <c r="C54" s="18"/>
    </row>
    <row r="56" spans="1:6" x14ac:dyDescent="0.3">
      <c r="A56" s="1" t="s">
        <v>85</v>
      </c>
      <c r="B56" s="1"/>
      <c r="C56" s="1"/>
      <c r="D56" s="1"/>
      <c r="E56" s="1"/>
      <c r="F56" s="1"/>
    </row>
  </sheetData>
  <mergeCells count="3">
    <mergeCell ref="A1:I1"/>
    <mergeCell ref="A2:I2"/>
    <mergeCell ref="A56:F5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Trade Log</vt:lpstr>
      <vt:lpstr>Price History</vt:lpstr>
      <vt:lpstr>Holdings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Ioannis Karanikolas</cp:lastModifiedBy>
  <cp:revision>1</cp:revision>
  <dcterms:created xsi:type="dcterms:W3CDTF">2026-09-13T07:11:23Z</dcterms:created>
  <dcterms:modified xsi:type="dcterms:W3CDTF">2026-09-13T07:33:35Z</dcterms:modified>
  <dc:language>en-US</dc:language>
</cp:coreProperties>
</file>